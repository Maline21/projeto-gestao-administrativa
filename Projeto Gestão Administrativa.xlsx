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20" yWindow="480" windowWidth="19800" windowHeight="7350" firstSheet="1" activeTab="8"/>
  </bookViews>
  <sheets>
    <sheet name="Apresentação" sheetId="1" r:id="rId1"/>
    <sheet name="Solicitações" sheetId="2" r:id="rId2"/>
    <sheet name="Documentos" sheetId="3" r:id="rId3"/>
    <sheet name="Notas Fiscais" sheetId="4" r:id="rId4"/>
    <sheet name="Fornecedores" sheetId="5" r:id="rId5"/>
    <sheet name="Agenda" sheetId="6" r:id="rId6"/>
    <sheet name="Dashboard" sheetId="7" r:id="rId7"/>
    <sheet name="Procedimentos" sheetId="8" r:id="rId8"/>
    <sheet name="Portfólio" sheetId="9" r:id="rId9"/>
  </sheets>
  <calcPr calcId="124519"/>
</workbook>
</file>

<file path=xl/calcChain.xml><?xml version="1.0" encoding="utf-8"?>
<calcChain xmlns="http://schemas.openxmlformats.org/spreadsheetml/2006/main">
  <c r="B25" i="7"/>
  <c r="B24"/>
  <c r="B23"/>
  <c r="B22"/>
  <c r="B18"/>
  <c r="B17"/>
  <c r="B16"/>
  <c r="E15"/>
  <c r="B15"/>
  <c r="E14"/>
  <c r="B14"/>
  <c r="E13"/>
  <c r="B13"/>
  <c r="N8"/>
  <c r="K8"/>
  <c r="H8"/>
  <c r="E8"/>
  <c r="B8"/>
  <c r="N5"/>
  <c r="B5"/>
  <c r="H5" s="1"/>
  <c r="I11" i="5"/>
  <c r="I10"/>
  <c r="I9"/>
  <c r="I8"/>
  <c r="I7"/>
  <c r="I6"/>
  <c r="I5"/>
  <c r="I4"/>
  <c r="K38" i="4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H15" i="3"/>
  <c r="G15"/>
  <c r="H14"/>
  <c r="G14"/>
  <c r="H13"/>
  <c r="G13"/>
  <c r="H12"/>
  <c r="G12"/>
  <c r="H11"/>
  <c r="G11"/>
  <c r="H10"/>
  <c r="G10"/>
  <c r="H9"/>
  <c r="G9"/>
  <c r="H8"/>
  <c r="G8"/>
  <c r="H7"/>
  <c r="G7"/>
  <c r="H6"/>
  <c r="G6"/>
  <c r="H5"/>
  <c r="G5"/>
  <c r="H4"/>
  <c r="K5" i="7" s="1"/>
  <c r="G4" i="3"/>
  <c r="L48" i="2"/>
  <c r="K48"/>
  <c r="L47"/>
  <c r="K47"/>
  <c r="L46"/>
  <c r="K46"/>
  <c r="L45"/>
  <c r="K45"/>
  <c r="L44"/>
  <c r="K44"/>
  <c r="L43"/>
  <c r="K43"/>
  <c r="L42"/>
  <c r="K42"/>
  <c r="L41"/>
  <c r="K41"/>
  <c r="L40"/>
  <c r="K40"/>
  <c r="L39"/>
  <c r="K39"/>
  <c r="L38"/>
  <c r="K38"/>
  <c r="L37"/>
  <c r="K37"/>
  <c r="L36"/>
  <c r="K36"/>
  <c r="L35"/>
  <c r="K35"/>
  <c r="L34"/>
  <c r="K34"/>
  <c r="L33"/>
  <c r="K33"/>
  <c r="L32"/>
  <c r="K32"/>
  <c r="L31"/>
  <c r="K31"/>
  <c r="L30"/>
  <c r="K30"/>
  <c r="L29"/>
  <c r="K29"/>
  <c r="L28"/>
  <c r="K28"/>
  <c r="L27"/>
  <c r="K27"/>
  <c r="L26"/>
  <c r="K26"/>
  <c r="L25"/>
  <c r="K25"/>
  <c r="L24"/>
  <c r="K24"/>
  <c r="L23"/>
  <c r="K23"/>
  <c r="L22"/>
  <c r="K22"/>
  <c r="L21"/>
  <c r="K21"/>
  <c r="L20"/>
  <c r="K20"/>
  <c r="L19"/>
  <c r="K19"/>
  <c r="L18"/>
  <c r="K18"/>
  <c r="L17"/>
  <c r="K17"/>
  <c r="L16"/>
  <c r="K16"/>
  <c r="L15"/>
  <c r="K15"/>
  <c r="L14"/>
  <c r="K14"/>
  <c r="L13"/>
  <c r="K13"/>
  <c r="L12"/>
  <c r="K12"/>
  <c r="L11"/>
  <c r="K11"/>
  <c r="L10"/>
  <c r="K10"/>
  <c r="L9"/>
  <c r="K9"/>
  <c r="L8"/>
  <c r="K8"/>
  <c r="L7"/>
  <c r="K7"/>
  <c r="L6"/>
  <c r="K6"/>
  <c r="L5"/>
  <c r="K5"/>
  <c r="L4"/>
  <c r="E5" i="7" s="1"/>
  <c r="K4" i="2"/>
</calcChain>
</file>

<file path=xl/sharedStrings.xml><?xml version="1.0" encoding="utf-8"?>
<sst xmlns="http://schemas.openxmlformats.org/spreadsheetml/2006/main" count="1148" uniqueCount="368">
  <si>
    <t>Projeto de Gestão Administrativa | Central de Controles</t>
  </si>
  <si>
    <t>PROJETO SIMULADO PARA PORTFÓLIO — dados e empresa fictícios, criados para demonstrar competências administrativas.</t>
  </si>
  <si>
    <t>Cenário</t>
  </si>
  <si>
    <t>Uma empresa fictícia precisa centralizar rotinas administrativas que antes eram acompanhadas separadamente.</t>
  </si>
  <si>
    <t>Objetivo</t>
  </si>
  <si>
    <t>Criar uma central de gestão para acompanhar solicitações internas, documentos, notas fiscais, fornecedores, reuniões e prazos.</t>
  </si>
  <si>
    <t>Ferramentas</t>
  </si>
  <si>
    <t>Excel | estrutura compatível com rotinas administrativas</t>
  </si>
  <si>
    <t>Período simulado</t>
  </si>
  <si>
    <t>Julho a setembro de 2026</t>
  </si>
  <si>
    <t>Módulos</t>
  </si>
  <si>
    <t>Solicitações | Documentos | Notas Fiscais | Fornecedores | Agenda | Dashboard</t>
  </si>
  <si>
    <t>Indicadores</t>
  </si>
  <si>
    <t>Demandas por status e prioridade, atrasos, documentos próximos do vencimento, notas pendentes, fornecedores ativos e compromissos.</t>
  </si>
  <si>
    <t>Competências</t>
  </si>
  <si>
    <t>Organização, atenção aos detalhes, planejamento, gestão do tempo, Excel intermediário e acompanhamento de prazos.</t>
  </si>
  <si>
    <t>Diferencial</t>
  </si>
  <si>
    <t>Projeto integrado: várias rotinas administrativas em um único controle.</t>
  </si>
  <si>
    <t>Status</t>
  </si>
  <si>
    <t>Concluído</t>
  </si>
  <si>
    <t>Observação</t>
  </si>
  <si>
    <t>Não representa experiência profissional em empresa real.</t>
  </si>
  <si>
    <t>Controle de Solicitações Internas</t>
  </si>
  <si>
    <t>Data de referência</t>
  </si>
  <si>
    <t>ID</t>
  </si>
  <si>
    <t>Data Abertura</t>
  </si>
  <si>
    <t>Setor</t>
  </si>
  <si>
    <t>Tipo de Solicitação</t>
  </si>
  <si>
    <t>Descrição</t>
  </si>
  <si>
    <t>Responsável</t>
  </si>
  <si>
    <t>Prioridade</t>
  </si>
  <si>
    <t>Prazo</t>
  </si>
  <si>
    <t>Data Conclusão</t>
  </si>
  <si>
    <t>Dias em Aberto</t>
  </si>
  <si>
    <t>Atrasada?</t>
  </si>
  <si>
    <t>ADM-001</t>
  </si>
  <si>
    <t>Operações</t>
  </si>
  <si>
    <t>Cadastro/atualização</t>
  </si>
  <si>
    <t>Demanda administrativa simulada</t>
  </si>
  <si>
    <t>Carla Mendes</t>
  </si>
  <si>
    <t>Baixa</t>
  </si>
  <si>
    <t>Pendente</t>
  </si>
  <si>
    <t>Projeto de portfólio</t>
  </si>
  <si>
    <t>ADM-002</t>
  </si>
  <si>
    <t>Comercial</t>
  </si>
  <si>
    <t>Reembolso</t>
  </si>
  <si>
    <t>Diego Alves</t>
  </si>
  <si>
    <t>ADM-003</t>
  </si>
  <si>
    <t>Apoio administrativo</t>
  </si>
  <si>
    <t>Bruno Souza</t>
  </si>
  <si>
    <t>Concluída</t>
  </si>
  <si>
    <t>ADM-004</t>
  </si>
  <si>
    <t>Acesso a sistema</t>
  </si>
  <si>
    <t>ADM-005</t>
  </si>
  <si>
    <t>Diretoria</t>
  </si>
  <si>
    <t>Ana Lima</t>
  </si>
  <si>
    <t>ADM-006</t>
  </si>
  <si>
    <t>TI</t>
  </si>
  <si>
    <t>Agendamento</t>
  </si>
  <si>
    <t>Média</t>
  </si>
  <si>
    <t>ADM-007</t>
  </si>
  <si>
    <t>Relatório</t>
  </si>
  <si>
    <t>ADM-008</t>
  </si>
  <si>
    <t>RH</t>
  </si>
  <si>
    <t>Compra de material</t>
  </si>
  <si>
    <t>ADM-009</t>
  </si>
  <si>
    <t>Alta</t>
  </si>
  <si>
    <t>ADM-010</t>
  </si>
  <si>
    <t>ADM-011</t>
  </si>
  <si>
    <t>ADM-012</t>
  </si>
  <si>
    <t>Em andamento</t>
  </si>
  <si>
    <t>ADM-013</t>
  </si>
  <si>
    <t>ADM-014</t>
  </si>
  <si>
    <t>ADM-015</t>
  </si>
  <si>
    <t>Financeiro</t>
  </si>
  <si>
    <t>ADM-016</t>
  </si>
  <si>
    <t>ADM-017</t>
  </si>
  <si>
    <t>ADM-018</t>
  </si>
  <si>
    <t>ADM-019</t>
  </si>
  <si>
    <t>ADM-020</t>
  </si>
  <si>
    <t>ADM-021</t>
  </si>
  <si>
    <t>ADM-022</t>
  </si>
  <si>
    <t>ADM-023</t>
  </si>
  <si>
    <t>ADM-024</t>
  </si>
  <si>
    <t>ADM-025</t>
  </si>
  <si>
    <t>Documento</t>
  </si>
  <si>
    <t>ADM-026</t>
  </si>
  <si>
    <t>ADM-027</t>
  </si>
  <si>
    <t>ADM-028</t>
  </si>
  <si>
    <t>ADM-029</t>
  </si>
  <si>
    <t>ADM-030</t>
  </si>
  <si>
    <t>ADM-031</t>
  </si>
  <si>
    <t>ADM-032</t>
  </si>
  <si>
    <t>ADM-033</t>
  </si>
  <si>
    <t>ADM-034</t>
  </si>
  <si>
    <t>ADM-035</t>
  </si>
  <si>
    <t>ADM-036</t>
  </si>
  <si>
    <t>ADM-037</t>
  </si>
  <si>
    <t>ADM-038</t>
  </si>
  <si>
    <t>ADM-039</t>
  </si>
  <si>
    <t>ADM-040</t>
  </si>
  <si>
    <t>ADM-041</t>
  </si>
  <si>
    <t>ADM-042</t>
  </si>
  <si>
    <t>ADM-043</t>
  </si>
  <si>
    <t>ADM-044</t>
  </si>
  <si>
    <t>ADM-045</t>
  </si>
  <si>
    <t>Controle de Documentos Administrativos</t>
  </si>
  <si>
    <t>Parâmetro</t>
  </si>
  <si>
    <t>Valor</t>
  </si>
  <si>
    <t>Código</t>
  </si>
  <si>
    <t>Categoria</t>
  </si>
  <si>
    <t>Data Emissão</t>
  </si>
  <si>
    <t>Validade</t>
  </si>
  <si>
    <t>Dias p/ Vencer</t>
  </si>
  <si>
    <t>Situação</t>
  </si>
  <si>
    <t>Local/Referência</t>
  </si>
  <si>
    <t>DOC-001</t>
  </si>
  <si>
    <t>Contrato fornecedor</t>
  </si>
  <si>
    <t>Interno</t>
  </si>
  <si>
    <t>Pasta Digital/Contratos</t>
  </si>
  <si>
    <t>Documento simulado</t>
  </si>
  <si>
    <t>DOC-002</t>
  </si>
  <si>
    <t>Certidão</t>
  </si>
  <si>
    <t>Contratos</t>
  </si>
  <si>
    <t>Pasta Digital/Interno</t>
  </si>
  <si>
    <t>DOC-003</t>
  </si>
  <si>
    <t>Licença</t>
  </si>
  <si>
    <t>Fiscal</t>
  </si>
  <si>
    <t>DOC-004</t>
  </si>
  <si>
    <t>Apólice</t>
  </si>
  <si>
    <t>Fornecedores</t>
  </si>
  <si>
    <t>Pasta Digital/Fiscal</t>
  </si>
  <si>
    <t>DOC-005</t>
  </si>
  <si>
    <t>Contrato de serviço</t>
  </si>
  <si>
    <t>Legal</t>
  </si>
  <si>
    <t>DOC-006</t>
  </si>
  <si>
    <t>Cadastro fornecedor</t>
  </si>
  <si>
    <t>DOC-007</t>
  </si>
  <si>
    <t>Termo interno</t>
  </si>
  <si>
    <t>Pasta Digital/Legal</t>
  </si>
  <si>
    <t>DOC-008</t>
  </si>
  <si>
    <t>Procuração</t>
  </si>
  <si>
    <t>DOC-009</t>
  </si>
  <si>
    <t>Documento societário</t>
  </si>
  <si>
    <t>DOC-010</t>
  </si>
  <si>
    <t>Comprovante cadastral</t>
  </si>
  <si>
    <t>DOC-011</t>
  </si>
  <si>
    <t>Contrato locação</t>
  </si>
  <si>
    <t>DOC-012</t>
  </si>
  <si>
    <t>Certificado</t>
  </si>
  <si>
    <t>Controle de Notas Fiscais</t>
  </si>
  <si>
    <t>NF</t>
  </si>
  <si>
    <t>Fornecedor</t>
  </si>
  <si>
    <t>Centro de Custo</t>
  </si>
  <si>
    <t>Vencimento</t>
  </si>
  <si>
    <t>Conferida?</t>
  </si>
  <si>
    <t>Status Pagamento</t>
  </si>
  <si>
    <t>Data Pagamento</t>
  </si>
  <si>
    <t>Dias até Vencimento</t>
  </si>
  <si>
    <t>NF-2400</t>
  </si>
  <si>
    <t>Alfa Suprimentos</t>
  </si>
  <si>
    <t>Marketing</t>
  </si>
  <si>
    <t>Sim</t>
  </si>
  <si>
    <t>Pago</t>
  </si>
  <si>
    <t>Nota simulada</t>
  </si>
  <si>
    <t>NF-2401</t>
  </si>
  <si>
    <t>Nova Mídia</t>
  </si>
  <si>
    <t>NF-2402</t>
  </si>
  <si>
    <t>Beta Serviços</t>
  </si>
  <si>
    <t>Serviço</t>
  </si>
  <si>
    <t>NF-2403</t>
  </si>
  <si>
    <t>Material</t>
  </si>
  <si>
    <t>NF-2404</t>
  </si>
  <si>
    <t>Office Mais</t>
  </si>
  <si>
    <t>NF-2405</t>
  </si>
  <si>
    <t>Data Solutions</t>
  </si>
  <si>
    <t>Não</t>
  </si>
  <si>
    <t>NF-2406</t>
  </si>
  <si>
    <t>Connect TI</t>
  </si>
  <si>
    <t>NF-2407</t>
  </si>
  <si>
    <t>NF-2408</t>
  </si>
  <si>
    <t>Log Express</t>
  </si>
  <si>
    <t>NF-2409</t>
  </si>
  <si>
    <t>NF-2410</t>
  </si>
  <si>
    <t>Logística</t>
  </si>
  <si>
    <t>NF-2411</t>
  </si>
  <si>
    <t>NF-2412</t>
  </si>
  <si>
    <t>NF-2413</t>
  </si>
  <si>
    <t>NF-2414</t>
  </si>
  <si>
    <t>NF-2415</t>
  </si>
  <si>
    <t>NF-2416</t>
  </si>
  <si>
    <t>NF-2417</t>
  </si>
  <si>
    <t>Prime Facilities</t>
  </si>
  <si>
    <t>NF-2418</t>
  </si>
  <si>
    <t>Tecnologia</t>
  </si>
  <si>
    <t>NF-2419</t>
  </si>
  <si>
    <t>NF-2420</t>
  </si>
  <si>
    <t>NF-2421</t>
  </si>
  <si>
    <t>NF-2422</t>
  </si>
  <si>
    <t>NF-2423</t>
  </si>
  <si>
    <t>NF-2424</t>
  </si>
  <si>
    <t>NF-2425</t>
  </si>
  <si>
    <t>NF-2426</t>
  </si>
  <si>
    <t>NF-2427</t>
  </si>
  <si>
    <t>NF-2428</t>
  </si>
  <si>
    <t>NF-2429</t>
  </si>
  <si>
    <t>NF-2430</t>
  </si>
  <si>
    <t>NF-2431</t>
  </si>
  <si>
    <t>NF-2432</t>
  </si>
  <si>
    <t>NF-2433</t>
  </si>
  <si>
    <t>NF-2434</t>
  </si>
  <si>
    <t>Cadastro e Avaliação de Fornecedores</t>
  </si>
  <si>
    <t>Contato</t>
  </si>
  <si>
    <t>E-mail</t>
  </si>
  <si>
    <t>Prazo Médio (dias)</t>
  </si>
  <si>
    <t>Qualidade (1-5)</t>
  </si>
  <si>
    <t>Pontualidade (1-5)</t>
  </si>
  <si>
    <t>Avaliação Média</t>
  </si>
  <si>
    <t>FOR-001</t>
  </si>
  <si>
    <t>(21) 95442-3456</t>
  </si>
  <si>
    <t>contato@alfasuprimentos.example</t>
  </si>
  <si>
    <t>Ativo</t>
  </si>
  <si>
    <t>Dados fictícios</t>
  </si>
  <si>
    <t>FOR-002</t>
  </si>
  <si>
    <t>(21) 99162-6934</t>
  </si>
  <si>
    <t>contato@betaserviços.example</t>
  </si>
  <si>
    <t>FOR-003</t>
  </si>
  <si>
    <t>(21) 93911-4694</t>
  </si>
  <si>
    <t>contato@connectti.example</t>
  </si>
  <si>
    <t>FOR-004</t>
  </si>
  <si>
    <t>(21) 93417-7129</t>
  </si>
  <si>
    <t>contato@logexpress.example</t>
  </si>
  <si>
    <t>FOR-005</t>
  </si>
  <si>
    <t>(21) 96793-9576</t>
  </si>
  <si>
    <t>contato@officemais.example</t>
  </si>
  <si>
    <t>FOR-006</t>
  </si>
  <si>
    <t>(21) 93372-7415</t>
  </si>
  <si>
    <t>contato@primefacilities.example</t>
  </si>
  <si>
    <t>FOR-007</t>
  </si>
  <si>
    <t>(21) 92929-9608</t>
  </si>
  <si>
    <t>contato@novamídia.example</t>
  </si>
  <si>
    <t>FOR-008</t>
  </si>
  <si>
    <t>(21) 95155-1303</t>
  </si>
  <si>
    <t>contato@datasolutions.example</t>
  </si>
  <si>
    <t>Agenda Administrativa e Prazos</t>
  </si>
  <si>
    <t>Data</t>
  </si>
  <si>
    <t>Horário</t>
  </si>
  <si>
    <t>Tipo</t>
  </si>
  <si>
    <t>Assunto</t>
  </si>
  <si>
    <t>Participantes/Área</t>
  </si>
  <si>
    <t>AG-001</t>
  </si>
  <si>
    <t>14:00</t>
  </si>
  <si>
    <t>Conferência</t>
  </si>
  <si>
    <t>Conferência de NF</t>
  </si>
  <si>
    <t>Agendado</t>
  </si>
  <si>
    <t>Compromisso simulado</t>
  </si>
  <si>
    <t>AG-002</t>
  </si>
  <si>
    <t>09:00</t>
  </si>
  <si>
    <t>Reunião</t>
  </si>
  <si>
    <t>Renovação documental</t>
  </si>
  <si>
    <t>AG-003</t>
  </si>
  <si>
    <t>Follow-up</t>
  </si>
  <si>
    <t>AG-004</t>
  </si>
  <si>
    <t>16:00</t>
  </si>
  <si>
    <t>Atualização de relatório</t>
  </si>
  <si>
    <t>AG-005</t>
  </si>
  <si>
    <t>Follow-up fornecedor</t>
  </si>
  <si>
    <t>AG-006</t>
  </si>
  <si>
    <t>10:30</t>
  </si>
  <si>
    <t>AG-007</t>
  </si>
  <si>
    <t>15:30</t>
  </si>
  <si>
    <t>Entrega</t>
  </si>
  <si>
    <t>AG-008</t>
  </si>
  <si>
    <t>AG-009</t>
  </si>
  <si>
    <t>AG-010</t>
  </si>
  <si>
    <t>AG-011</t>
  </si>
  <si>
    <t>Fechamento de pendências</t>
  </si>
  <si>
    <t>AG-012</t>
  </si>
  <si>
    <t>AG-013</t>
  </si>
  <si>
    <t>Reunião de alinhamento</t>
  </si>
  <si>
    <t>AG-014</t>
  </si>
  <si>
    <t>AG-015</t>
  </si>
  <si>
    <t>Reagendado</t>
  </si>
  <si>
    <t>AG-016</t>
  </si>
  <si>
    <t>AG-017</t>
  </si>
  <si>
    <t>AG-018</t>
  </si>
  <si>
    <t>AG-019</t>
  </si>
  <si>
    <t>AG-020</t>
  </si>
  <si>
    <t>AG-021</t>
  </si>
  <si>
    <t>AG-022</t>
  </si>
  <si>
    <t>AG-023</t>
  </si>
  <si>
    <t>AG-024</t>
  </si>
  <si>
    <t>AG-025</t>
  </si>
  <si>
    <t>Dashboard | Gestão Administrativa</t>
  </si>
  <si>
    <t>Visão integrada de demandas, documentos, notas fiscais, fornecedores e agenda — Projeto simulado</t>
  </si>
  <si>
    <t>Solicitações</t>
  </si>
  <si>
    <t>Solicitações Atrasadas</t>
  </si>
  <si>
    <t>Taxa de Conclusão</t>
  </si>
  <si>
    <t>Docs. em Atenção</t>
  </si>
  <si>
    <t>NFs Pendentes</t>
  </si>
  <si>
    <t>Valor NFs Pendentes</t>
  </si>
  <si>
    <t>Fornecedores Ativos</t>
  </si>
  <si>
    <t>Agenda em Aberto</t>
  </si>
  <si>
    <t>Alta Prioridade</t>
  </si>
  <si>
    <t>NFs Não Conferidas</t>
  </si>
  <si>
    <t>Solicitações por Setor</t>
  </si>
  <si>
    <t>Qtd</t>
  </si>
  <si>
    <t>Status Solicitações</t>
  </si>
  <si>
    <t>Status NF</t>
  </si>
  <si>
    <t>Conferida - Sim</t>
  </si>
  <si>
    <t>Conferida - Não</t>
  </si>
  <si>
    <t>Procedimentos Administrativos Propostos</t>
  </si>
  <si>
    <t>Rotina</t>
  </si>
  <si>
    <t>Procedimento</t>
  </si>
  <si>
    <t>Frequência</t>
  </si>
  <si>
    <t>Controle</t>
  </si>
  <si>
    <t>Risco Reduzido</t>
  </si>
  <si>
    <t>Indicador</t>
  </si>
  <si>
    <t>Solicitações internas</t>
  </si>
  <si>
    <t>Registrar toda demanda, responsável, prioridade e prazo antes do acompanhamento.</t>
  </si>
  <si>
    <t>Diária</t>
  </si>
  <si>
    <t>Assistente Administrativo</t>
  </si>
  <si>
    <t>Planilha de Solicitações</t>
  </si>
  <si>
    <t>Perda de prazo</t>
  </si>
  <si>
    <t>% concluídas / atrasadas</t>
  </si>
  <si>
    <t>Documentos</t>
  </si>
  <si>
    <t>Revisar documentos com vencimento próximo e atualizar situação.</t>
  </si>
  <si>
    <t>Semanal</t>
  </si>
  <si>
    <t>Controle de Documentos</t>
  </si>
  <si>
    <t>Documento vencido</t>
  </si>
  <si>
    <t>Docs. em atenção</t>
  </si>
  <si>
    <t>Notas fiscais</t>
  </si>
  <si>
    <t>Conferir fornecedor, valor, vencimento e status antes do encaminhamento.</t>
  </si>
  <si>
    <t>Controle de NF</t>
  </si>
  <si>
    <t>Erro ou atraso</t>
  </si>
  <si>
    <t>NFs pendentes/não conferidas</t>
  </si>
  <si>
    <t>Manter cadastro atualizado e registrar avaliação de prazo e qualidade.</t>
  </si>
  <si>
    <t>Mensal</t>
  </si>
  <si>
    <t>Administrativo</t>
  </si>
  <si>
    <t>Cadastro de Fornecedores</t>
  </si>
  <si>
    <t>Fornecedor inadequado</t>
  </si>
  <si>
    <t>Avaliação média</t>
  </si>
  <si>
    <t>Agenda</t>
  </si>
  <si>
    <t>Consolidar reuniões, prazos e follow-ups em um único calendário.</t>
  </si>
  <si>
    <t>Agenda Administrativa</t>
  </si>
  <si>
    <t>Esquecimento de compromissos</t>
  </si>
  <si>
    <t>Agenda em aberto</t>
  </si>
  <si>
    <t>Fechamento</t>
  </si>
  <si>
    <t>Revisar pendências e indicadores para priorizar a semana seguinte.</t>
  </si>
  <si>
    <t>Dashboard</t>
  </si>
  <si>
    <t>Acúmulo de pendências</t>
  </si>
  <si>
    <t>Atrasos e prioridades</t>
  </si>
  <si>
    <t>Texto para o Portfólio | Gestão Administrativa</t>
  </si>
  <si>
    <t>Campo</t>
  </si>
  <si>
    <t>Conteúdo</t>
  </si>
  <si>
    <t>Título</t>
  </si>
  <si>
    <t>Projeto de Gestão Administrativa — Central de Controles</t>
  </si>
  <si>
    <t>Contexto</t>
  </si>
  <si>
    <t>Projeto simulado desenvolvido para centralizar e acompanhar diferentes rotinas de um setor administrativo.</t>
  </si>
  <si>
    <t>Criar uma estrutura integrada para gestão de solicitações internas, documentos, notas fiscais, fornecedores, compromissos e prazos.</t>
  </si>
  <si>
    <t>Excel</t>
  </si>
  <si>
    <t>Etapas</t>
  </si>
  <si>
    <t>Definição das rotinas; criação das bases; padronização de status e prioridades; fórmulas para prazos; controles de vencimento; indicadores; dashboard; procedimentos administrativos.</t>
  </si>
  <si>
    <t>Competências demonstradas</t>
  </si>
  <si>
    <t>Organização, atenção aos detalhes, Excel intermediário, planejamento, gestão do tempo, acompanhamento de prazos e visão integrada de rotinas administrativas.</t>
  </si>
  <si>
    <t>Entregas</t>
  </si>
  <si>
    <t>Cinco controles administrativos, dashboard integrado, indicadores e procedimentos padronizados.</t>
  </si>
  <si>
    <t>Dados totalmente simulados para portfólio; não representa experiência em empresa real.</t>
  </si>
</sst>
</file>

<file path=xl/styles.xml><?xml version="1.0" encoding="utf-8"?>
<styleSheet xmlns="http://schemas.openxmlformats.org/spreadsheetml/2006/main">
  <numFmts count="5">
    <numFmt numFmtId="44" formatCode="_-&quot;R$&quot;\ * #,##0.00_-;\-&quot;R$&quot;\ * #,##0.00_-;_-&quot;R$&quot;\ * &quot;-&quot;??_-;_-@_-"/>
    <numFmt numFmtId="165" formatCode="0.0"/>
    <numFmt numFmtId="166" formatCode="0.0%"/>
    <numFmt numFmtId="167" formatCode="&quot;R$&quot;\ #,##0.00"/>
    <numFmt numFmtId="169" formatCode="[$-F400]h:mm:ss\ AM/PM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7F6000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i/>
      <sz val="11"/>
      <color rgb="FF17324D"/>
      <name val="Carlito"/>
    </font>
    <font>
      <b/>
      <sz val="14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6">
    <xf numFmtId="0" fontId="0" fillId="0" borderId="0" xfId="0"/>
    <xf numFmtId="0" fontId="3" fillId="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65" fontId="0" fillId="0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wrapText="1"/>
    </xf>
    <xf numFmtId="1" fontId="6" fillId="6" borderId="0" xfId="0" applyNumberFormat="1" applyFont="1" applyFill="1" applyBorder="1" applyAlignment="1">
      <alignment horizontal="center"/>
    </xf>
    <xf numFmtId="166" fontId="6" fillId="6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5" fillId="4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167" fontId="4" fillId="5" borderId="0" xfId="1" applyNumberFormat="1" applyFont="1" applyFill="1" applyBorder="1" applyAlignment="1">
      <alignment horizontal="center" vertical="center" wrapText="1"/>
    </xf>
    <xf numFmtId="167" fontId="0" fillId="0" borderId="0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" fillId="5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9" fontId="4" fillId="5" borderId="0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167" fontId="6" fillId="6" borderId="0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0">
    <dxf>
      <numFmt numFmtId="167" formatCode="&quot;R$&quot;\ #,##0.00"/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numFmt numFmtId="169" formatCode="[$-F400]h:mm:ss\ AM/PM"/>
      <alignment horizontal="center" vertical="center" textRotation="0" indent="0" relativeIndent="255" justifyLastLine="0" shrinkToFit="0" readingOrder="0"/>
    </dxf>
    <dxf>
      <alignment horizontal="left" vertical="center" textRotation="0" wrapText="0" indent="0" relativeIndent="255" justifyLastLine="0" shrinkToFit="0" mergeCell="0" readingOrder="0"/>
    </dxf>
    <dxf>
      <numFmt numFmtId="19" formatCode="dd/mm/yyyy"/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left" vertical="center" textRotation="0" indent="0" relativeIndent="255" justifyLastLine="0" shrinkToFit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numFmt numFmtId="19" formatCode="dd/mm/yyyy"/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numFmt numFmtId="19" formatCode="dd/mm/yyyy"/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mergeCell="0" readingOrder="0"/>
    </dxf>
    <dxf>
      <alignment horizontal="center" textRotation="0" indent="0" relativeIndent="255" justifyLastLine="0" shrinkToFit="0" readingOrder="0"/>
    </dxf>
    <dxf>
      <font>
        <b/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Demandas por Setor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Qtd</c:v>
          </c:tx>
          <c:cat>
            <c:strRef>
              <c:f>Dashboard!$A$13:$A$18</c:f>
              <c:strCache>
                <c:ptCount val="6"/>
                <c:pt idx="0">
                  <c:v>Financeiro</c:v>
                </c:pt>
                <c:pt idx="1">
                  <c:v>RH</c:v>
                </c:pt>
                <c:pt idx="2">
                  <c:v>Comercial</c:v>
                </c:pt>
                <c:pt idx="3">
                  <c:v>Operações</c:v>
                </c:pt>
                <c:pt idx="4">
                  <c:v>TI</c:v>
                </c:pt>
                <c:pt idx="5">
                  <c:v>Diretoria</c:v>
                </c:pt>
              </c:strCache>
            </c:strRef>
          </c:cat>
          <c:val>
            <c:numRef>
              <c:f>Dashboard!$B$13:$B$18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15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</c:ser>
        <c:axId val="46208128"/>
        <c:axId val="46209664"/>
      </c:barChart>
      <c:catAx>
        <c:axId val="46208128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6209664"/>
        <c:crosses val="autoZero"/>
        <c:lblAlgn val="ctr"/>
        <c:lblOffset val="100"/>
      </c:catAx>
      <c:valAx>
        <c:axId val="46209664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6208128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Status das Solicitações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Qtd</c:v>
          </c:tx>
          <c:cat>
            <c:strRef>
              <c:f>Dashboard!$D$13:$D$15</c:f>
              <c:strCache>
                <c:ptCount val="3"/>
                <c:pt idx="0">
                  <c:v>Concluída</c:v>
                </c:pt>
                <c:pt idx="1">
                  <c:v>Em andamento</c:v>
                </c:pt>
                <c:pt idx="2">
                  <c:v>Pendente</c:v>
                </c:pt>
              </c:strCache>
            </c:strRef>
          </c:cat>
          <c:val>
            <c:numRef>
              <c:f>Dashboard!$E$13:$E$15</c:f>
              <c:numCache>
                <c:formatCode>General</c:formatCode>
                <c:ptCount val="3"/>
                <c:pt idx="0">
                  <c:v>29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</c:ser>
        <c:axId val="46246144"/>
        <c:axId val="46256128"/>
      </c:barChart>
      <c:catAx>
        <c:axId val="46246144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6256128"/>
        <c:crosses val="autoZero"/>
        <c:lblAlgn val="ctr"/>
        <c:lblOffset val="100"/>
      </c:catAx>
      <c:valAx>
        <c:axId val="46256128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6246144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Controle de Notas Fiscais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Qtd</c:v>
          </c:tx>
          <c:cat>
            <c:strRef>
              <c:f>Dashboard!$A$22:$A$25</c:f>
              <c:strCache>
                <c:ptCount val="4"/>
                <c:pt idx="0">
                  <c:v>Pago</c:v>
                </c:pt>
                <c:pt idx="1">
                  <c:v>Pendente</c:v>
                </c:pt>
                <c:pt idx="2">
                  <c:v>Conferida - Sim</c:v>
                </c:pt>
                <c:pt idx="3">
                  <c:v>Conferida - Não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25</c:v>
                </c:pt>
                <c:pt idx="1">
                  <c:v>10</c:v>
                </c:pt>
                <c:pt idx="2">
                  <c:v>25</c:v>
                </c:pt>
                <c:pt idx="3">
                  <c:v>10</c:v>
                </c:pt>
              </c:numCache>
            </c:numRef>
          </c:val>
        </c:ser>
        <c:axId val="47459328"/>
        <c:axId val="47473408"/>
      </c:barChart>
      <c:catAx>
        <c:axId val="47459328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7473408"/>
        <c:crosses val="autoZero"/>
        <c:lblAlgn val="ctr"/>
        <c:lblOffset val="100"/>
      </c:catAx>
      <c:valAx>
        <c:axId val="47473408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7459328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olicitacoesAdm" displayName="SolicitacoesAdm" ref="A3:M48" totalsRowShown="0">
  <tableColumns count="13">
    <tableColumn id="1" name="ID"/>
    <tableColumn id="2" name="Data Abertura"/>
    <tableColumn id="3" name="Setor"/>
    <tableColumn id="4" name="Tipo de Solicitação"/>
    <tableColumn id="5" name="Descrição"/>
    <tableColumn id="6" name="Responsável"/>
    <tableColumn id="7" name="Prioridade"/>
    <tableColumn id="8" name="Prazo" dataDxfId="25"/>
    <tableColumn id="9" name="Status"/>
    <tableColumn id="10" name="Data Conclusão"/>
    <tableColumn id="11" name="Dias em Aberto"/>
    <tableColumn id="12" name="Atrasada?"/>
    <tableColumn id="13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cumentosAdm" displayName="DocumentosAdm" ref="A3:J15" totalsRowShown="0">
  <tableColumns count="10">
    <tableColumn id="1" name="Código"/>
    <tableColumn id="2" name="Documento"/>
    <tableColumn id="3" name="Categoria"/>
    <tableColumn id="4" name="Responsável"/>
    <tableColumn id="5" name="Data Emissão"/>
    <tableColumn id="6" name="Validade"/>
    <tableColumn id="7" name="Dias p/ Vencer"/>
    <tableColumn id="8" name="Situação"/>
    <tableColumn id="9" name="Local/Referência"/>
    <tableColumn id="10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otasFiscaisAdm" displayName="NotasFiscaisAdm" ref="A3:L38" totalsRowShown="0" headerRowDxfId="24">
  <tableColumns count="12">
    <tableColumn id="1" name="NF" dataDxfId="22"/>
    <tableColumn id="2" name="Data Emissão" dataDxfId="21"/>
    <tableColumn id="3" name="Fornecedor" dataDxfId="20"/>
    <tableColumn id="4" name="Categoria" dataDxfId="2"/>
    <tableColumn id="5" name="Valor" dataDxfId="0" dataCellStyle="Moeda"/>
    <tableColumn id="6" name="Centro de Custo" dataDxfId="1"/>
    <tableColumn id="7" name="Vencimento" dataDxfId="15"/>
    <tableColumn id="8" name="Conferida?" dataDxfId="16"/>
    <tableColumn id="9" name="Status Pagamento" dataDxfId="19"/>
    <tableColumn id="10" name="Data Pagamento" dataDxfId="17"/>
    <tableColumn id="11" name="Dias até Vencimento" dataDxfId="18"/>
    <tableColumn id="12" name="Observação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rnecedoresAdm" displayName="FornecedoresAdm" ref="A3:K11" totalsRowShown="0">
  <tableColumns count="11">
    <tableColumn id="1" name="Código"/>
    <tableColumn id="2" name="Fornecedor"/>
    <tableColumn id="3" name="Categoria"/>
    <tableColumn id="4" name="Contato"/>
    <tableColumn id="5" name="E-mail"/>
    <tableColumn id="6" name="Prazo Médio (dias)"/>
    <tableColumn id="7" name="Qualidade (1-5)"/>
    <tableColumn id="8" name="Pontualidade (1-5)"/>
    <tableColumn id="9" name="Avaliação Média"/>
    <tableColumn id="10" name="Status"/>
    <tableColumn id="11" name="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gendaAdm" displayName="AgendaAdm" ref="A3:J28" totalsRowShown="0" headerRowDxfId="14" dataDxfId="13">
  <tableColumns count="10">
    <tableColumn id="1" name="ID" dataDxfId="6"/>
    <tableColumn id="2" name="Data" dataDxfId="5"/>
    <tableColumn id="3" name="Horário" dataDxfId="3"/>
    <tableColumn id="4" name="Tipo" dataDxfId="4"/>
    <tableColumn id="5" name="Assunto" dataDxfId="12"/>
    <tableColumn id="6" name="Responsável" dataDxfId="11"/>
    <tableColumn id="7" name="Participantes/Área" dataDxfId="10"/>
    <tableColumn id="8" name="Status" dataDxfId="9"/>
    <tableColumn id="9" name="Prioridade" dataDxfId="8"/>
    <tableColumn id="10" name="Observaçã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sqref="A1:G1"/>
    </sheetView>
  </sheetViews>
  <sheetFormatPr defaultRowHeight="14.25"/>
  <cols>
    <col min="1" max="1" width="25" customWidth="1"/>
    <col min="2" max="2" width="82" customWidth="1"/>
  </cols>
  <sheetData>
    <row r="1" spans="1:7" ht="30" customHeight="1">
      <c r="A1" s="9" t="s">
        <v>0</v>
      </c>
      <c r="B1" s="9"/>
      <c r="C1" s="9"/>
      <c r="D1" s="9"/>
      <c r="E1" s="9"/>
      <c r="F1" s="9"/>
      <c r="G1" s="9"/>
    </row>
    <row r="3" spans="1:7" ht="33.950000000000003" customHeight="1">
      <c r="A3" s="10" t="s">
        <v>1</v>
      </c>
      <c r="B3" s="10"/>
      <c r="C3" s="10"/>
      <c r="D3" s="10"/>
      <c r="E3" s="10"/>
      <c r="F3" s="10"/>
      <c r="G3" s="10"/>
    </row>
    <row r="5" spans="1:7" ht="29.25">
      <c r="A5" s="1" t="s">
        <v>2</v>
      </c>
      <c r="B5" s="2" t="s">
        <v>3</v>
      </c>
    </row>
    <row r="6" spans="1:7" ht="29.25">
      <c r="A6" s="1" t="s">
        <v>4</v>
      </c>
      <c r="B6" s="2" t="s">
        <v>5</v>
      </c>
    </row>
    <row r="7" spans="1:7" ht="15">
      <c r="A7" s="1" t="s">
        <v>6</v>
      </c>
      <c r="B7" s="2" t="s">
        <v>7</v>
      </c>
    </row>
    <row r="8" spans="1:7" ht="15">
      <c r="A8" s="1" t="s">
        <v>8</v>
      </c>
      <c r="B8" s="2" t="s">
        <v>9</v>
      </c>
    </row>
    <row r="9" spans="1:7" ht="15">
      <c r="A9" s="1" t="s">
        <v>10</v>
      </c>
      <c r="B9" s="2" t="s">
        <v>11</v>
      </c>
    </row>
    <row r="10" spans="1:7" ht="29.25">
      <c r="A10" s="1" t="s">
        <v>12</v>
      </c>
      <c r="B10" s="2" t="s">
        <v>13</v>
      </c>
    </row>
    <row r="11" spans="1:7" ht="29.25">
      <c r="A11" s="1" t="s">
        <v>14</v>
      </c>
      <c r="B11" s="2" t="s">
        <v>15</v>
      </c>
    </row>
    <row r="12" spans="1:7" ht="15">
      <c r="A12" s="1" t="s">
        <v>16</v>
      </c>
      <c r="B12" s="2" t="s">
        <v>17</v>
      </c>
    </row>
    <row r="13" spans="1:7" ht="15">
      <c r="A13" s="1" t="s">
        <v>18</v>
      </c>
      <c r="B13" s="2" t="s">
        <v>19</v>
      </c>
    </row>
    <row r="14" spans="1:7" ht="15">
      <c r="A14" s="1" t="s">
        <v>20</v>
      </c>
      <c r="B14" s="2" t="s">
        <v>21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topLeftCell="C43" workbookViewId="0">
      <selection activeCell="H2" sqref="H1:H1048576"/>
    </sheetView>
  </sheetViews>
  <sheetFormatPr defaultRowHeight="14.25"/>
  <cols>
    <col min="1" max="3" width="18" customWidth="1"/>
    <col min="4" max="4" width="25" customWidth="1"/>
    <col min="5" max="5" width="29" bestFit="1" customWidth="1"/>
    <col min="6" max="6" width="17.625" customWidth="1"/>
    <col min="7" max="7" width="18" customWidth="1"/>
    <col min="8" max="8" width="18" style="12" customWidth="1"/>
    <col min="9" max="13" width="18" customWidth="1"/>
    <col min="15" max="15" width="17.5" bestFit="1" customWidth="1"/>
    <col min="16" max="16" width="9.875" bestFit="1" customWidth="1"/>
  </cols>
  <sheetData>
    <row r="1" spans="1:16" ht="30" customHeight="1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6" ht="15">
      <c r="O2" s="1" t="s">
        <v>23</v>
      </c>
      <c r="P2" s="4">
        <v>46289</v>
      </c>
    </row>
    <row r="3" spans="1:16" ht="1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18</v>
      </c>
      <c r="J3" s="3" t="s">
        <v>32</v>
      </c>
      <c r="K3" s="3" t="s">
        <v>33</v>
      </c>
      <c r="L3" s="3" t="s">
        <v>34</v>
      </c>
      <c r="M3" s="3" t="s">
        <v>20</v>
      </c>
    </row>
    <row r="4" spans="1:16">
      <c r="A4" t="s">
        <v>35</v>
      </c>
      <c r="B4" s="4">
        <v>46265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s="13">
        <v>46277</v>
      </c>
      <c r="I4" t="s">
        <v>41</v>
      </c>
      <c r="J4" s="4"/>
      <c r="K4">
        <f t="shared" ref="K4:K48" si="0">IF(J4&lt;&gt;"",J4-B4,$P$2-B4)</f>
        <v>24</v>
      </c>
      <c r="L4" t="str">
        <f t="shared" ref="L4:L48" si="1">IF(AND(I4&lt;&gt;"Concluída",$P$2&gt;H4),"Sim",IF(AND(I4="Concluída",J4&gt;H4),"Sim","Não"))</f>
        <v>Sim</v>
      </c>
      <c r="M4" t="s">
        <v>42</v>
      </c>
    </row>
    <row r="5" spans="1:16">
      <c r="A5" t="s">
        <v>43</v>
      </c>
      <c r="B5" s="4">
        <v>46212</v>
      </c>
      <c r="C5" t="s">
        <v>44</v>
      </c>
      <c r="D5" t="s">
        <v>45</v>
      </c>
      <c r="E5" t="s">
        <v>38</v>
      </c>
      <c r="F5" t="s">
        <v>46</v>
      </c>
      <c r="G5" t="s">
        <v>40</v>
      </c>
      <c r="H5" s="13">
        <v>46224</v>
      </c>
      <c r="I5" t="s">
        <v>41</v>
      </c>
      <c r="J5" s="4"/>
      <c r="K5">
        <f t="shared" si="0"/>
        <v>77</v>
      </c>
      <c r="L5" t="str">
        <f t="shared" si="1"/>
        <v>Sim</v>
      </c>
      <c r="M5" t="s">
        <v>42</v>
      </c>
    </row>
    <row r="6" spans="1:16">
      <c r="A6" t="s">
        <v>47</v>
      </c>
      <c r="B6" s="4">
        <v>46287</v>
      </c>
      <c r="C6" t="s">
        <v>44</v>
      </c>
      <c r="D6" t="s">
        <v>48</v>
      </c>
      <c r="E6" t="s">
        <v>38</v>
      </c>
      <c r="F6" t="s">
        <v>49</v>
      </c>
      <c r="G6" t="s">
        <v>40</v>
      </c>
      <c r="H6" s="13">
        <v>46299</v>
      </c>
      <c r="I6" t="s">
        <v>50</v>
      </c>
      <c r="J6" s="4">
        <v>46295</v>
      </c>
      <c r="K6">
        <f t="shared" si="0"/>
        <v>8</v>
      </c>
      <c r="L6" t="str">
        <f t="shared" si="1"/>
        <v>Não</v>
      </c>
      <c r="M6" t="s">
        <v>42</v>
      </c>
    </row>
    <row r="7" spans="1:16">
      <c r="A7" t="s">
        <v>51</v>
      </c>
      <c r="B7" s="4">
        <v>46227</v>
      </c>
      <c r="C7" t="s">
        <v>44</v>
      </c>
      <c r="D7" t="s">
        <v>52</v>
      </c>
      <c r="E7" t="s">
        <v>38</v>
      </c>
      <c r="F7" t="s">
        <v>39</v>
      </c>
      <c r="G7" t="s">
        <v>40</v>
      </c>
      <c r="H7" s="13">
        <v>46239</v>
      </c>
      <c r="I7" t="s">
        <v>50</v>
      </c>
      <c r="J7" s="4">
        <v>46229</v>
      </c>
      <c r="K7">
        <f t="shared" si="0"/>
        <v>2</v>
      </c>
      <c r="L7" t="str">
        <f t="shared" si="1"/>
        <v>Não</v>
      </c>
      <c r="M7" t="s">
        <v>42</v>
      </c>
    </row>
    <row r="8" spans="1:16">
      <c r="A8" t="s">
        <v>53</v>
      </c>
      <c r="B8" s="4">
        <v>46226</v>
      </c>
      <c r="C8" t="s">
        <v>54</v>
      </c>
      <c r="D8" t="s">
        <v>52</v>
      </c>
      <c r="E8" t="s">
        <v>38</v>
      </c>
      <c r="F8" t="s">
        <v>55</v>
      </c>
      <c r="G8" t="s">
        <v>40</v>
      </c>
      <c r="H8" s="13">
        <v>46238</v>
      </c>
      <c r="I8" t="s">
        <v>50</v>
      </c>
      <c r="J8" s="4">
        <v>46228</v>
      </c>
      <c r="K8">
        <f t="shared" si="0"/>
        <v>2</v>
      </c>
      <c r="L8" t="str">
        <f t="shared" si="1"/>
        <v>Não</v>
      </c>
      <c r="M8" t="s">
        <v>42</v>
      </c>
    </row>
    <row r="9" spans="1:16">
      <c r="A9" t="s">
        <v>56</v>
      </c>
      <c r="B9" s="4">
        <v>46227</v>
      </c>
      <c r="C9" t="s">
        <v>57</v>
      </c>
      <c r="D9" t="s">
        <v>58</v>
      </c>
      <c r="E9" t="s">
        <v>38</v>
      </c>
      <c r="F9" t="s">
        <v>39</v>
      </c>
      <c r="G9" t="s">
        <v>59</v>
      </c>
      <c r="H9" s="13">
        <v>46234</v>
      </c>
      <c r="I9" t="s">
        <v>50</v>
      </c>
      <c r="J9" s="4">
        <v>46239</v>
      </c>
      <c r="K9">
        <f t="shared" si="0"/>
        <v>12</v>
      </c>
      <c r="L9" t="str">
        <f t="shared" si="1"/>
        <v>Sim</v>
      </c>
      <c r="M9" t="s">
        <v>42</v>
      </c>
    </row>
    <row r="10" spans="1:16">
      <c r="A10" t="s">
        <v>60</v>
      </c>
      <c r="B10" s="4">
        <v>46267</v>
      </c>
      <c r="C10" t="s">
        <v>36</v>
      </c>
      <c r="D10" t="s">
        <v>61</v>
      </c>
      <c r="E10" t="s">
        <v>38</v>
      </c>
      <c r="F10" t="s">
        <v>49</v>
      </c>
      <c r="G10" t="s">
        <v>59</v>
      </c>
      <c r="H10" s="13">
        <v>46274</v>
      </c>
      <c r="I10" t="s">
        <v>50</v>
      </c>
      <c r="J10" s="4">
        <v>46270</v>
      </c>
      <c r="K10">
        <f t="shared" si="0"/>
        <v>3</v>
      </c>
      <c r="L10" t="str">
        <f t="shared" si="1"/>
        <v>Não</v>
      </c>
      <c r="M10" t="s">
        <v>42</v>
      </c>
    </row>
    <row r="11" spans="1:16">
      <c r="A11" t="s">
        <v>62</v>
      </c>
      <c r="B11" s="4">
        <v>46235</v>
      </c>
      <c r="C11" t="s">
        <v>63</v>
      </c>
      <c r="D11" t="s">
        <v>64</v>
      </c>
      <c r="E11" t="s">
        <v>38</v>
      </c>
      <c r="F11" t="s">
        <v>39</v>
      </c>
      <c r="G11" t="s">
        <v>40</v>
      </c>
      <c r="H11" s="13">
        <v>46247</v>
      </c>
      <c r="I11" t="s">
        <v>50</v>
      </c>
      <c r="J11" s="4">
        <v>46244</v>
      </c>
      <c r="K11">
        <f t="shared" si="0"/>
        <v>9</v>
      </c>
      <c r="L11" t="str">
        <f t="shared" si="1"/>
        <v>Não</v>
      </c>
      <c r="M11" t="s">
        <v>42</v>
      </c>
    </row>
    <row r="12" spans="1:16">
      <c r="A12" t="s">
        <v>65</v>
      </c>
      <c r="B12" s="4">
        <v>46238</v>
      </c>
      <c r="C12" t="s">
        <v>44</v>
      </c>
      <c r="D12" t="s">
        <v>48</v>
      </c>
      <c r="E12" t="s">
        <v>38</v>
      </c>
      <c r="F12" t="s">
        <v>46</v>
      </c>
      <c r="G12" t="s">
        <v>66</v>
      </c>
      <c r="H12" s="13">
        <v>46242</v>
      </c>
      <c r="I12" t="s">
        <v>50</v>
      </c>
      <c r="J12" s="4">
        <v>46249</v>
      </c>
      <c r="K12">
        <f t="shared" si="0"/>
        <v>11</v>
      </c>
      <c r="L12" t="str">
        <f t="shared" si="1"/>
        <v>Sim</v>
      </c>
      <c r="M12" t="s">
        <v>42</v>
      </c>
    </row>
    <row r="13" spans="1:16">
      <c r="A13" t="s">
        <v>67</v>
      </c>
      <c r="B13" s="4">
        <v>46231</v>
      </c>
      <c r="C13" t="s">
        <v>44</v>
      </c>
      <c r="D13" t="s">
        <v>45</v>
      </c>
      <c r="E13" t="s">
        <v>38</v>
      </c>
      <c r="F13" t="s">
        <v>46</v>
      </c>
      <c r="G13" t="s">
        <v>59</v>
      </c>
      <c r="H13" s="13">
        <v>46238</v>
      </c>
      <c r="I13" t="s">
        <v>50</v>
      </c>
      <c r="J13" s="4">
        <v>46240</v>
      </c>
      <c r="K13">
        <f t="shared" si="0"/>
        <v>9</v>
      </c>
      <c r="L13" t="str">
        <f t="shared" si="1"/>
        <v>Sim</v>
      </c>
      <c r="M13" t="s">
        <v>42</v>
      </c>
    </row>
    <row r="14" spans="1:16">
      <c r="A14" t="s">
        <v>68</v>
      </c>
      <c r="B14" s="4">
        <v>46288</v>
      </c>
      <c r="C14" t="s">
        <v>54</v>
      </c>
      <c r="D14" t="s">
        <v>52</v>
      </c>
      <c r="E14" t="s">
        <v>38</v>
      </c>
      <c r="F14" t="s">
        <v>55</v>
      </c>
      <c r="G14" t="s">
        <v>59</v>
      </c>
      <c r="H14" s="13">
        <v>46295</v>
      </c>
      <c r="I14" t="s">
        <v>50</v>
      </c>
      <c r="J14" s="4">
        <v>46289</v>
      </c>
      <c r="K14">
        <f t="shared" si="0"/>
        <v>1</v>
      </c>
      <c r="L14" t="str">
        <f t="shared" si="1"/>
        <v>Não</v>
      </c>
      <c r="M14" t="s">
        <v>42</v>
      </c>
    </row>
    <row r="15" spans="1:16">
      <c r="A15" t="s">
        <v>69</v>
      </c>
      <c r="B15" s="4">
        <v>46216</v>
      </c>
      <c r="C15" t="s">
        <v>36</v>
      </c>
      <c r="D15" t="s">
        <v>48</v>
      </c>
      <c r="E15" t="s">
        <v>38</v>
      </c>
      <c r="F15" t="s">
        <v>49</v>
      </c>
      <c r="G15" t="s">
        <v>59</v>
      </c>
      <c r="H15" s="13">
        <v>46223</v>
      </c>
      <c r="I15" t="s">
        <v>70</v>
      </c>
      <c r="J15" s="4"/>
      <c r="K15">
        <f t="shared" si="0"/>
        <v>73</v>
      </c>
      <c r="L15" t="str">
        <f t="shared" si="1"/>
        <v>Sim</v>
      </c>
      <c r="M15" t="s">
        <v>42</v>
      </c>
    </row>
    <row r="16" spans="1:16">
      <c r="A16" t="s">
        <v>71</v>
      </c>
      <c r="B16" s="4">
        <v>46274</v>
      </c>
      <c r="C16" t="s">
        <v>54</v>
      </c>
      <c r="D16" t="s">
        <v>45</v>
      </c>
      <c r="E16" t="s">
        <v>38</v>
      </c>
      <c r="F16" t="s">
        <v>55</v>
      </c>
      <c r="G16" t="s">
        <v>66</v>
      </c>
      <c r="H16" s="13">
        <v>46278</v>
      </c>
      <c r="I16" t="s">
        <v>50</v>
      </c>
      <c r="J16" s="4">
        <v>46276</v>
      </c>
      <c r="K16">
        <f t="shared" si="0"/>
        <v>2</v>
      </c>
      <c r="L16" t="str">
        <f t="shared" si="1"/>
        <v>Não</v>
      </c>
      <c r="M16" t="s">
        <v>42</v>
      </c>
    </row>
    <row r="17" spans="1:13">
      <c r="A17" t="s">
        <v>72</v>
      </c>
      <c r="B17" s="4">
        <v>46251</v>
      </c>
      <c r="C17" t="s">
        <v>54</v>
      </c>
      <c r="D17" t="s">
        <v>37</v>
      </c>
      <c r="E17" t="s">
        <v>38</v>
      </c>
      <c r="F17" t="s">
        <v>55</v>
      </c>
      <c r="G17" t="s">
        <v>40</v>
      </c>
      <c r="H17" s="13">
        <v>46263</v>
      </c>
      <c r="I17" t="s">
        <v>50</v>
      </c>
      <c r="J17" s="4">
        <v>46254</v>
      </c>
      <c r="K17">
        <f t="shared" si="0"/>
        <v>3</v>
      </c>
      <c r="L17" t="str">
        <f t="shared" si="1"/>
        <v>Não</v>
      </c>
      <c r="M17" t="s">
        <v>42</v>
      </c>
    </row>
    <row r="18" spans="1:13">
      <c r="A18" t="s">
        <v>73</v>
      </c>
      <c r="B18" s="4">
        <v>46273</v>
      </c>
      <c r="C18" t="s">
        <v>74</v>
      </c>
      <c r="D18" t="s">
        <v>52</v>
      </c>
      <c r="E18" t="s">
        <v>38</v>
      </c>
      <c r="F18" t="s">
        <v>46</v>
      </c>
      <c r="G18" t="s">
        <v>59</v>
      </c>
      <c r="H18" s="13">
        <v>46280</v>
      </c>
      <c r="I18" t="s">
        <v>50</v>
      </c>
      <c r="J18" s="4">
        <v>46278</v>
      </c>
      <c r="K18">
        <f t="shared" si="0"/>
        <v>5</v>
      </c>
      <c r="L18" t="str">
        <f t="shared" si="1"/>
        <v>Não</v>
      </c>
      <c r="M18" t="s">
        <v>42</v>
      </c>
    </row>
    <row r="19" spans="1:13">
      <c r="A19" t="s">
        <v>75</v>
      </c>
      <c r="B19" s="4">
        <v>46204</v>
      </c>
      <c r="C19" t="s">
        <v>44</v>
      </c>
      <c r="D19" t="s">
        <v>58</v>
      </c>
      <c r="E19" t="s">
        <v>38</v>
      </c>
      <c r="F19" t="s">
        <v>55</v>
      </c>
      <c r="G19" t="s">
        <v>59</v>
      </c>
      <c r="H19" s="13">
        <v>46211</v>
      </c>
      <c r="I19" t="s">
        <v>50</v>
      </c>
      <c r="J19" s="4">
        <v>46206</v>
      </c>
      <c r="K19">
        <f t="shared" si="0"/>
        <v>2</v>
      </c>
      <c r="L19" t="str">
        <f t="shared" si="1"/>
        <v>Não</v>
      </c>
      <c r="M19" t="s">
        <v>42</v>
      </c>
    </row>
    <row r="20" spans="1:13">
      <c r="A20" t="s">
        <v>76</v>
      </c>
      <c r="B20" s="4">
        <v>46241</v>
      </c>
      <c r="C20" t="s">
        <v>54</v>
      </c>
      <c r="D20" t="s">
        <v>64</v>
      </c>
      <c r="E20" t="s">
        <v>38</v>
      </c>
      <c r="F20" t="s">
        <v>55</v>
      </c>
      <c r="G20" t="s">
        <v>66</v>
      </c>
      <c r="H20" s="13">
        <v>46245</v>
      </c>
      <c r="I20" t="s">
        <v>50</v>
      </c>
      <c r="J20" s="4">
        <v>46246</v>
      </c>
      <c r="K20">
        <f t="shared" si="0"/>
        <v>5</v>
      </c>
      <c r="L20" t="str">
        <f t="shared" si="1"/>
        <v>Sim</v>
      </c>
      <c r="M20" t="s">
        <v>42</v>
      </c>
    </row>
    <row r="21" spans="1:13">
      <c r="A21" t="s">
        <v>77</v>
      </c>
      <c r="B21" s="4">
        <v>46281</v>
      </c>
      <c r="C21" t="s">
        <v>54</v>
      </c>
      <c r="D21" t="s">
        <v>52</v>
      </c>
      <c r="E21" t="s">
        <v>38</v>
      </c>
      <c r="F21" t="s">
        <v>39</v>
      </c>
      <c r="G21" t="s">
        <v>59</v>
      </c>
      <c r="H21" s="13">
        <v>46288</v>
      </c>
      <c r="I21" t="s">
        <v>50</v>
      </c>
      <c r="J21" s="4">
        <v>46292</v>
      </c>
      <c r="K21">
        <f t="shared" si="0"/>
        <v>11</v>
      </c>
      <c r="L21" t="str">
        <f t="shared" si="1"/>
        <v>Sim</v>
      </c>
      <c r="M21" t="s">
        <v>42</v>
      </c>
    </row>
    <row r="22" spans="1:13">
      <c r="A22" t="s">
        <v>78</v>
      </c>
      <c r="B22" s="4">
        <v>46219</v>
      </c>
      <c r="C22" t="s">
        <v>44</v>
      </c>
      <c r="D22" t="s">
        <v>37</v>
      </c>
      <c r="E22" t="s">
        <v>38</v>
      </c>
      <c r="F22" t="s">
        <v>55</v>
      </c>
      <c r="G22" t="s">
        <v>59</v>
      </c>
      <c r="H22" s="13">
        <v>46226</v>
      </c>
      <c r="I22" t="s">
        <v>70</v>
      </c>
      <c r="J22" s="4"/>
      <c r="K22">
        <f t="shared" si="0"/>
        <v>70</v>
      </c>
      <c r="L22" t="str">
        <f t="shared" si="1"/>
        <v>Sim</v>
      </c>
      <c r="M22" t="s">
        <v>42</v>
      </c>
    </row>
    <row r="23" spans="1:13">
      <c r="A23" t="s">
        <v>79</v>
      </c>
      <c r="B23" s="4">
        <v>46228</v>
      </c>
      <c r="C23" t="s">
        <v>44</v>
      </c>
      <c r="D23" t="s">
        <v>45</v>
      </c>
      <c r="E23" t="s">
        <v>38</v>
      </c>
      <c r="F23" t="s">
        <v>55</v>
      </c>
      <c r="G23" t="s">
        <v>66</v>
      </c>
      <c r="H23" s="13">
        <v>46232</v>
      </c>
      <c r="I23" t="s">
        <v>41</v>
      </c>
      <c r="J23" s="4"/>
      <c r="K23">
        <f t="shared" si="0"/>
        <v>61</v>
      </c>
      <c r="L23" t="str">
        <f t="shared" si="1"/>
        <v>Sim</v>
      </c>
      <c r="M23" t="s">
        <v>42</v>
      </c>
    </row>
    <row r="24" spans="1:13">
      <c r="A24" t="s">
        <v>80</v>
      </c>
      <c r="B24" s="4">
        <v>46248</v>
      </c>
      <c r="C24" t="s">
        <v>36</v>
      </c>
      <c r="D24" t="s">
        <v>61</v>
      </c>
      <c r="E24" t="s">
        <v>38</v>
      </c>
      <c r="F24" t="s">
        <v>39</v>
      </c>
      <c r="G24" t="s">
        <v>59</v>
      </c>
      <c r="H24" s="13">
        <v>46255</v>
      </c>
      <c r="I24" t="s">
        <v>50</v>
      </c>
      <c r="J24" s="4">
        <v>46259</v>
      </c>
      <c r="K24">
        <f t="shared" si="0"/>
        <v>11</v>
      </c>
      <c r="L24" t="str">
        <f t="shared" si="1"/>
        <v>Sim</v>
      </c>
      <c r="M24" t="s">
        <v>42</v>
      </c>
    </row>
    <row r="25" spans="1:13">
      <c r="A25" t="s">
        <v>81</v>
      </c>
      <c r="B25" s="4">
        <v>46272</v>
      </c>
      <c r="C25" t="s">
        <v>74</v>
      </c>
      <c r="D25" t="s">
        <v>45</v>
      </c>
      <c r="E25" t="s">
        <v>38</v>
      </c>
      <c r="F25" t="s">
        <v>39</v>
      </c>
      <c r="G25" t="s">
        <v>59</v>
      </c>
      <c r="H25" s="13">
        <v>46279</v>
      </c>
      <c r="I25" t="s">
        <v>70</v>
      </c>
      <c r="J25" s="4"/>
      <c r="K25">
        <f t="shared" si="0"/>
        <v>17</v>
      </c>
      <c r="L25" t="str">
        <f t="shared" si="1"/>
        <v>Sim</v>
      </c>
      <c r="M25" t="s">
        <v>42</v>
      </c>
    </row>
    <row r="26" spans="1:13">
      <c r="A26" t="s">
        <v>82</v>
      </c>
      <c r="B26" s="4">
        <v>46255</v>
      </c>
      <c r="C26" t="s">
        <v>44</v>
      </c>
      <c r="D26" t="s">
        <v>64</v>
      </c>
      <c r="E26" t="s">
        <v>38</v>
      </c>
      <c r="F26" t="s">
        <v>46</v>
      </c>
      <c r="G26" t="s">
        <v>40</v>
      </c>
      <c r="H26" s="13">
        <v>46267</v>
      </c>
      <c r="I26" t="s">
        <v>70</v>
      </c>
      <c r="J26" s="4"/>
      <c r="K26">
        <f t="shared" si="0"/>
        <v>34</v>
      </c>
      <c r="L26" t="str">
        <f t="shared" si="1"/>
        <v>Sim</v>
      </c>
      <c r="M26" t="s">
        <v>42</v>
      </c>
    </row>
    <row r="27" spans="1:13">
      <c r="A27" t="s">
        <v>83</v>
      </c>
      <c r="B27" s="4">
        <v>46256</v>
      </c>
      <c r="C27" t="s">
        <v>44</v>
      </c>
      <c r="D27" t="s">
        <v>61</v>
      </c>
      <c r="E27" t="s">
        <v>38</v>
      </c>
      <c r="F27" t="s">
        <v>39</v>
      </c>
      <c r="G27" t="s">
        <v>40</v>
      </c>
      <c r="H27" s="13">
        <v>46268</v>
      </c>
      <c r="I27" t="s">
        <v>70</v>
      </c>
      <c r="J27" s="4"/>
      <c r="K27">
        <f t="shared" si="0"/>
        <v>33</v>
      </c>
      <c r="L27" t="str">
        <f t="shared" si="1"/>
        <v>Sim</v>
      </c>
      <c r="M27" t="s">
        <v>42</v>
      </c>
    </row>
    <row r="28" spans="1:13">
      <c r="A28" t="s">
        <v>84</v>
      </c>
      <c r="B28" s="4">
        <v>46237</v>
      </c>
      <c r="C28" t="s">
        <v>63</v>
      </c>
      <c r="D28" t="s">
        <v>85</v>
      </c>
      <c r="E28" t="s">
        <v>38</v>
      </c>
      <c r="F28" t="s">
        <v>46</v>
      </c>
      <c r="G28" t="s">
        <v>59</v>
      </c>
      <c r="H28" s="13">
        <v>46244</v>
      </c>
      <c r="I28" t="s">
        <v>50</v>
      </c>
      <c r="J28" s="4">
        <v>46243</v>
      </c>
      <c r="K28">
        <f t="shared" si="0"/>
        <v>6</v>
      </c>
      <c r="L28" t="str">
        <f t="shared" si="1"/>
        <v>Não</v>
      </c>
      <c r="M28" t="s">
        <v>42</v>
      </c>
    </row>
    <row r="29" spans="1:13">
      <c r="A29" t="s">
        <v>86</v>
      </c>
      <c r="B29" s="4">
        <v>46260</v>
      </c>
      <c r="C29" t="s">
        <v>36</v>
      </c>
      <c r="D29" t="s">
        <v>85</v>
      </c>
      <c r="E29" t="s">
        <v>38</v>
      </c>
      <c r="F29" t="s">
        <v>55</v>
      </c>
      <c r="G29" t="s">
        <v>59</v>
      </c>
      <c r="H29" s="13">
        <v>46267</v>
      </c>
      <c r="I29" t="s">
        <v>50</v>
      </c>
      <c r="J29" s="4">
        <v>46263</v>
      </c>
      <c r="K29">
        <f t="shared" si="0"/>
        <v>3</v>
      </c>
      <c r="L29" t="str">
        <f t="shared" si="1"/>
        <v>Não</v>
      </c>
      <c r="M29" t="s">
        <v>42</v>
      </c>
    </row>
    <row r="30" spans="1:13">
      <c r="A30" t="s">
        <v>87</v>
      </c>
      <c r="B30" s="4">
        <v>46284</v>
      </c>
      <c r="C30" t="s">
        <v>57</v>
      </c>
      <c r="D30" t="s">
        <v>48</v>
      </c>
      <c r="E30" t="s">
        <v>38</v>
      </c>
      <c r="F30" t="s">
        <v>46</v>
      </c>
      <c r="G30" t="s">
        <v>59</v>
      </c>
      <c r="H30" s="13">
        <v>46291</v>
      </c>
      <c r="I30" t="s">
        <v>50</v>
      </c>
      <c r="J30" s="4">
        <v>46294</v>
      </c>
      <c r="K30">
        <f t="shared" si="0"/>
        <v>10</v>
      </c>
      <c r="L30" t="str">
        <f t="shared" si="1"/>
        <v>Sim</v>
      </c>
      <c r="M30" t="s">
        <v>42</v>
      </c>
    </row>
    <row r="31" spans="1:13">
      <c r="A31" t="s">
        <v>88</v>
      </c>
      <c r="B31" s="4">
        <v>46288</v>
      </c>
      <c r="C31" t="s">
        <v>63</v>
      </c>
      <c r="D31" t="s">
        <v>61</v>
      </c>
      <c r="E31" t="s">
        <v>38</v>
      </c>
      <c r="F31" t="s">
        <v>55</v>
      </c>
      <c r="G31" t="s">
        <v>40</v>
      </c>
      <c r="H31" s="13">
        <v>46300</v>
      </c>
      <c r="I31" t="s">
        <v>50</v>
      </c>
      <c r="J31" s="4">
        <v>46295</v>
      </c>
      <c r="K31">
        <f t="shared" si="0"/>
        <v>7</v>
      </c>
      <c r="L31" t="str">
        <f t="shared" si="1"/>
        <v>Não</v>
      </c>
      <c r="M31" t="s">
        <v>42</v>
      </c>
    </row>
    <row r="32" spans="1:13">
      <c r="A32" t="s">
        <v>89</v>
      </c>
      <c r="B32" s="4">
        <v>46232</v>
      </c>
      <c r="C32" t="s">
        <v>44</v>
      </c>
      <c r="D32" t="s">
        <v>45</v>
      </c>
      <c r="E32" t="s">
        <v>38</v>
      </c>
      <c r="F32" t="s">
        <v>55</v>
      </c>
      <c r="G32" t="s">
        <v>40</v>
      </c>
      <c r="H32" s="13">
        <v>46244</v>
      </c>
      <c r="I32" t="s">
        <v>70</v>
      </c>
      <c r="J32" s="4"/>
      <c r="K32">
        <f t="shared" si="0"/>
        <v>57</v>
      </c>
      <c r="L32" t="str">
        <f t="shared" si="1"/>
        <v>Sim</v>
      </c>
      <c r="M32" t="s">
        <v>42</v>
      </c>
    </row>
    <row r="33" spans="1:13">
      <c r="A33" t="s">
        <v>90</v>
      </c>
      <c r="B33" s="4">
        <v>46210</v>
      </c>
      <c r="C33" t="s">
        <v>74</v>
      </c>
      <c r="D33" t="s">
        <v>37</v>
      </c>
      <c r="E33" t="s">
        <v>38</v>
      </c>
      <c r="F33" t="s">
        <v>55</v>
      </c>
      <c r="G33" t="s">
        <v>59</v>
      </c>
      <c r="H33" s="13">
        <v>46217</v>
      </c>
      <c r="I33" t="s">
        <v>70</v>
      </c>
      <c r="J33" s="4"/>
      <c r="K33">
        <f t="shared" si="0"/>
        <v>79</v>
      </c>
      <c r="L33" t="str">
        <f t="shared" si="1"/>
        <v>Sim</v>
      </c>
      <c r="M33" t="s">
        <v>42</v>
      </c>
    </row>
    <row r="34" spans="1:13">
      <c r="A34" t="s">
        <v>91</v>
      </c>
      <c r="B34" s="4">
        <v>46215</v>
      </c>
      <c r="C34" t="s">
        <v>44</v>
      </c>
      <c r="D34" t="s">
        <v>48</v>
      </c>
      <c r="E34" t="s">
        <v>38</v>
      </c>
      <c r="F34" t="s">
        <v>49</v>
      </c>
      <c r="G34" t="s">
        <v>66</v>
      </c>
      <c r="H34" s="13">
        <v>46219</v>
      </c>
      <c r="I34" t="s">
        <v>50</v>
      </c>
      <c r="J34" s="4">
        <v>46224</v>
      </c>
      <c r="K34">
        <f t="shared" si="0"/>
        <v>9</v>
      </c>
      <c r="L34" t="str">
        <f t="shared" si="1"/>
        <v>Sim</v>
      </c>
      <c r="M34" t="s">
        <v>42</v>
      </c>
    </row>
    <row r="35" spans="1:13">
      <c r="A35" t="s">
        <v>92</v>
      </c>
      <c r="B35" s="4">
        <v>46262</v>
      </c>
      <c r="C35" t="s">
        <v>63</v>
      </c>
      <c r="D35" t="s">
        <v>61</v>
      </c>
      <c r="E35" t="s">
        <v>38</v>
      </c>
      <c r="F35" t="s">
        <v>55</v>
      </c>
      <c r="G35" t="s">
        <v>59</v>
      </c>
      <c r="H35" s="13">
        <v>46269</v>
      </c>
      <c r="I35" t="s">
        <v>70</v>
      </c>
      <c r="J35" s="4"/>
      <c r="K35">
        <f t="shared" si="0"/>
        <v>27</v>
      </c>
      <c r="L35" t="str">
        <f t="shared" si="1"/>
        <v>Sim</v>
      </c>
      <c r="M35" t="s">
        <v>42</v>
      </c>
    </row>
    <row r="36" spans="1:13">
      <c r="A36" t="s">
        <v>93</v>
      </c>
      <c r="B36" s="4">
        <v>46221</v>
      </c>
      <c r="C36" t="s">
        <v>36</v>
      </c>
      <c r="D36" t="s">
        <v>37</v>
      </c>
      <c r="E36" t="s">
        <v>38</v>
      </c>
      <c r="F36" t="s">
        <v>55</v>
      </c>
      <c r="G36" t="s">
        <v>59</v>
      </c>
      <c r="H36" s="13">
        <v>46228</v>
      </c>
      <c r="I36" t="s">
        <v>50</v>
      </c>
      <c r="J36" s="4">
        <v>46227</v>
      </c>
      <c r="K36">
        <f t="shared" si="0"/>
        <v>6</v>
      </c>
      <c r="L36" t="str">
        <f t="shared" si="1"/>
        <v>Não</v>
      </c>
      <c r="M36" t="s">
        <v>42</v>
      </c>
    </row>
    <row r="37" spans="1:13">
      <c r="A37" t="s">
        <v>94</v>
      </c>
      <c r="B37" s="4">
        <v>46233</v>
      </c>
      <c r="C37" t="s">
        <v>44</v>
      </c>
      <c r="D37" t="s">
        <v>58</v>
      </c>
      <c r="E37" t="s">
        <v>38</v>
      </c>
      <c r="F37" t="s">
        <v>46</v>
      </c>
      <c r="G37" t="s">
        <v>40</v>
      </c>
      <c r="H37" s="13">
        <v>46245</v>
      </c>
      <c r="I37" t="s">
        <v>70</v>
      </c>
      <c r="J37" s="4"/>
      <c r="K37">
        <f t="shared" si="0"/>
        <v>56</v>
      </c>
      <c r="L37" t="str">
        <f t="shared" si="1"/>
        <v>Sim</v>
      </c>
      <c r="M37" t="s">
        <v>42</v>
      </c>
    </row>
    <row r="38" spans="1:13">
      <c r="A38" t="s">
        <v>95</v>
      </c>
      <c r="B38" s="4">
        <v>46283</v>
      </c>
      <c r="C38" t="s">
        <v>57</v>
      </c>
      <c r="D38" t="s">
        <v>37</v>
      </c>
      <c r="E38" t="s">
        <v>38</v>
      </c>
      <c r="F38" t="s">
        <v>39</v>
      </c>
      <c r="G38" t="s">
        <v>40</v>
      </c>
      <c r="H38" s="13">
        <v>46295</v>
      </c>
      <c r="I38" t="s">
        <v>50</v>
      </c>
      <c r="J38" s="4">
        <v>46291</v>
      </c>
      <c r="K38">
        <f t="shared" si="0"/>
        <v>8</v>
      </c>
      <c r="L38" t="str">
        <f t="shared" si="1"/>
        <v>Não</v>
      </c>
      <c r="M38" t="s">
        <v>42</v>
      </c>
    </row>
    <row r="39" spans="1:13">
      <c r="A39" t="s">
        <v>96</v>
      </c>
      <c r="B39" s="4">
        <v>46248</v>
      </c>
      <c r="C39" t="s">
        <v>74</v>
      </c>
      <c r="D39" t="s">
        <v>48</v>
      </c>
      <c r="E39" t="s">
        <v>38</v>
      </c>
      <c r="F39" t="s">
        <v>46</v>
      </c>
      <c r="G39" t="s">
        <v>66</v>
      </c>
      <c r="H39" s="13">
        <v>46252</v>
      </c>
      <c r="I39" t="s">
        <v>50</v>
      </c>
      <c r="J39" s="4">
        <v>46258</v>
      </c>
      <c r="K39">
        <f t="shared" si="0"/>
        <v>10</v>
      </c>
      <c r="L39" t="str">
        <f t="shared" si="1"/>
        <v>Sim</v>
      </c>
      <c r="M39" t="s">
        <v>42</v>
      </c>
    </row>
    <row r="40" spans="1:13">
      <c r="A40" t="s">
        <v>97</v>
      </c>
      <c r="B40" s="4">
        <v>46261</v>
      </c>
      <c r="C40" t="s">
        <v>63</v>
      </c>
      <c r="D40" t="s">
        <v>45</v>
      </c>
      <c r="E40" t="s">
        <v>38</v>
      </c>
      <c r="F40" t="s">
        <v>46</v>
      </c>
      <c r="G40" t="s">
        <v>59</v>
      </c>
      <c r="H40" s="13">
        <v>46268</v>
      </c>
      <c r="I40" t="s">
        <v>50</v>
      </c>
      <c r="J40" s="4">
        <v>46264</v>
      </c>
      <c r="K40">
        <f t="shared" si="0"/>
        <v>3</v>
      </c>
      <c r="L40" t="str">
        <f t="shared" si="1"/>
        <v>Não</v>
      </c>
      <c r="M40" t="s">
        <v>42</v>
      </c>
    </row>
    <row r="41" spans="1:13">
      <c r="A41" t="s">
        <v>98</v>
      </c>
      <c r="B41" s="4">
        <v>46249</v>
      </c>
      <c r="C41" t="s">
        <v>36</v>
      </c>
      <c r="D41" t="s">
        <v>37</v>
      </c>
      <c r="E41" t="s">
        <v>38</v>
      </c>
      <c r="F41" t="s">
        <v>55</v>
      </c>
      <c r="G41" t="s">
        <v>59</v>
      </c>
      <c r="H41" s="13">
        <v>46256</v>
      </c>
      <c r="I41" t="s">
        <v>50</v>
      </c>
      <c r="J41" s="4">
        <v>46258</v>
      </c>
      <c r="K41">
        <f t="shared" si="0"/>
        <v>9</v>
      </c>
      <c r="L41" t="str">
        <f t="shared" si="1"/>
        <v>Sim</v>
      </c>
      <c r="M41" t="s">
        <v>42</v>
      </c>
    </row>
    <row r="42" spans="1:13">
      <c r="A42" t="s">
        <v>99</v>
      </c>
      <c r="B42" s="4">
        <v>46217</v>
      </c>
      <c r="C42" t="s">
        <v>57</v>
      </c>
      <c r="D42" t="s">
        <v>48</v>
      </c>
      <c r="E42" t="s">
        <v>38</v>
      </c>
      <c r="F42" t="s">
        <v>49</v>
      </c>
      <c r="G42" t="s">
        <v>59</v>
      </c>
      <c r="H42" s="13">
        <v>46224</v>
      </c>
      <c r="I42" t="s">
        <v>70</v>
      </c>
      <c r="J42" s="4"/>
      <c r="K42">
        <f t="shared" si="0"/>
        <v>72</v>
      </c>
      <c r="L42" t="str">
        <f t="shared" si="1"/>
        <v>Sim</v>
      </c>
      <c r="M42" t="s">
        <v>42</v>
      </c>
    </row>
    <row r="43" spans="1:13">
      <c r="A43" t="s">
        <v>100</v>
      </c>
      <c r="B43" s="4">
        <v>46258</v>
      </c>
      <c r="C43" t="s">
        <v>44</v>
      </c>
      <c r="D43" t="s">
        <v>64</v>
      </c>
      <c r="E43" t="s">
        <v>38</v>
      </c>
      <c r="F43" t="s">
        <v>55</v>
      </c>
      <c r="G43" t="s">
        <v>66</v>
      </c>
      <c r="H43" s="13">
        <v>46262</v>
      </c>
      <c r="I43" t="s">
        <v>70</v>
      </c>
      <c r="J43" s="4"/>
      <c r="K43">
        <f t="shared" si="0"/>
        <v>31</v>
      </c>
      <c r="L43" t="str">
        <f t="shared" si="1"/>
        <v>Sim</v>
      </c>
      <c r="M43" t="s">
        <v>42</v>
      </c>
    </row>
    <row r="44" spans="1:13">
      <c r="A44" t="s">
        <v>101</v>
      </c>
      <c r="B44" s="4">
        <v>46214</v>
      </c>
      <c r="C44" t="s">
        <v>44</v>
      </c>
      <c r="D44" t="s">
        <v>48</v>
      </c>
      <c r="E44" t="s">
        <v>38</v>
      </c>
      <c r="F44" t="s">
        <v>49</v>
      </c>
      <c r="G44" t="s">
        <v>59</v>
      </c>
      <c r="H44" s="13">
        <v>46221</v>
      </c>
      <c r="I44" t="s">
        <v>70</v>
      </c>
      <c r="J44" s="4"/>
      <c r="K44">
        <f t="shared" si="0"/>
        <v>75</v>
      </c>
      <c r="L44" t="str">
        <f t="shared" si="1"/>
        <v>Sim</v>
      </c>
      <c r="M44" t="s">
        <v>42</v>
      </c>
    </row>
    <row r="45" spans="1:13">
      <c r="A45" t="s">
        <v>102</v>
      </c>
      <c r="B45" s="4">
        <v>46216</v>
      </c>
      <c r="C45" t="s">
        <v>36</v>
      </c>
      <c r="D45" t="s">
        <v>37</v>
      </c>
      <c r="E45" t="s">
        <v>38</v>
      </c>
      <c r="F45" t="s">
        <v>46</v>
      </c>
      <c r="G45" t="s">
        <v>66</v>
      </c>
      <c r="H45" s="13">
        <v>46220</v>
      </c>
      <c r="I45" t="s">
        <v>50</v>
      </c>
      <c r="J45" s="4">
        <v>46220</v>
      </c>
      <c r="K45">
        <f t="shared" si="0"/>
        <v>4</v>
      </c>
      <c r="L45" t="str">
        <f t="shared" si="1"/>
        <v>Não</v>
      </c>
      <c r="M45" t="s">
        <v>42</v>
      </c>
    </row>
    <row r="46" spans="1:13">
      <c r="A46" t="s">
        <v>103</v>
      </c>
      <c r="B46" s="4">
        <v>46223</v>
      </c>
      <c r="C46" t="s">
        <v>63</v>
      </c>
      <c r="D46" t="s">
        <v>48</v>
      </c>
      <c r="E46" t="s">
        <v>38</v>
      </c>
      <c r="F46" t="s">
        <v>39</v>
      </c>
      <c r="G46" t="s">
        <v>40</v>
      </c>
      <c r="H46" s="13">
        <v>46235</v>
      </c>
      <c r="I46" t="s">
        <v>50</v>
      </c>
      <c r="J46" s="4">
        <v>46233</v>
      </c>
      <c r="K46">
        <f t="shared" si="0"/>
        <v>10</v>
      </c>
      <c r="L46" t="str">
        <f t="shared" si="1"/>
        <v>Não</v>
      </c>
      <c r="M46" t="s">
        <v>42</v>
      </c>
    </row>
    <row r="47" spans="1:13">
      <c r="A47" t="s">
        <v>104</v>
      </c>
      <c r="B47" s="4">
        <v>46230</v>
      </c>
      <c r="C47" t="s">
        <v>74</v>
      </c>
      <c r="D47" t="s">
        <v>85</v>
      </c>
      <c r="E47" t="s">
        <v>38</v>
      </c>
      <c r="F47" t="s">
        <v>49</v>
      </c>
      <c r="G47" t="s">
        <v>66</v>
      </c>
      <c r="H47" s="13">
        <v>46234</v>
      </c>
      <c r="I47" t="s">
        <v>70</v>
      </c>
      <c r="J47" s="4"/>
      <c r="K47">
        <f t="shared" si="0"/>
        <v>59</v>
      </c>
      <c r="L47" t="str">
        <f t="shared" si="1"/>
        <v>Sim</v>
      </c>
      <c r="M47" t="s">
        <v>42</v>
      </c>
    </row>
    <row r="48" spans="1:13">
      <c r="A48" t="s">
        <v>105</v>
      </c>
      <c r="B48" s="4">
        <v>46260</v>
      </c>
      <c r="C48" t="s">
        <v>63</v>
      </c>
      <c r="D48" t="s">
        <v>64</v>
      </c>
      <c r="E48" t="s">
        <v>38</v>
      </c>
      <c r="F48" t="s">
        <v>39</v>
      </c>
      <c r="G48" t="s">
        <v>59</v>
      </c>
      <c r="H48" s="13">
        <v>46267</v>
      </c>
      <c r="I48" t="s">
        <v>50</v>
      </c>
      <c r="J48" s="4">
        <v>46264</v>
      </c>
      <c r="K48">
        <f t="shared" si="0"/>
        <v>4</v>
      </c>
      <c r="L48" t="str">
        <f t="shared" si="1"/>
        <v>Não</v>
      </c>
      <c r="M48" t="s">
        <v>42</v>
      </c>
    </row>
  </sheetData>
  <mergeCells count="1">
    <mergeCell ref="A1:M1"/>
  </mergeCells>
  <conditionalFormatting sqref="L4:L48">
    <cfRule type="expression" dxfId="29" priority="1">
      <formula>L4="Sim"</formula>
    </cfRule>
  </conditionalFormatting>
  <dataValidations count="2">
    <dataValidation type="list" sqref="G4:G70">
      <formula1>"Baixa,Média,Alta"</formula1>
    </dataValidation>
    <dataValidation type="list" sqref="I4:I70">
      <formula1>"Concluída,Em andamento,Pendente"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sqref="A1:J1"/>
    </sheetView>
  </sheetViews>
  <sheetFormatPr defaultRowHeight="14.25"/>
  <cols>
    <col min="1" max="1" width="21" customWidth="1"/>
    <col min="2" max="2" width="28" customWidth="1"/>
    <col min="3" max="10" width="21" customWidth="1"/>
  </cols>
  <sheetData>
    <row r="1" spans="1:13" ht="30" customHeight="1">
      <c r="A1" s="9" t="s">
        <v>106</v>
      </c>
      <c r="B1" s="9"/>
      <c r="C1" s="9"/>
      <c r="D1" s="9"/>
      <c r="E1" s="9"/>
      <c r="F1" s="9"/>
      <c r="G1" s="9"/>
      <c r="H1" s="9"/>
      <c r="I1" s="9"/>
      <c r="J1" s="9"/>
      <c r="L1" s="3" t="s">
        <v>107</v>
      </c>
      <c r="M1" s="3" t="s">
        <v>108</v>
      </c>
    </row>
    <row r="2" spans="1:13">
      <c r="L2" t="s">
        <v>23</v>
      </c>
      <c r="M2" s="4">
        <v>46289</v>
      </c>
    </row>
    <row r="3" spans="1:13" ht="15">
      <c r="A3" s="3" t="s">
        <v>109</v>
      </c>
      <c r="B3" s="3" t="s">
        <v>85</v>
      </c>
      <c r="C3" s="3" t="s">
        <v>110</v>
      </c>
      <c r="D3" s="3" t="s">
        <v>29</v>
      </c>
      <c r="E3" s="3" t="s">
        <v>111</v>
      </c>
      <c r="F3" s="3" t="s">
        <v>112</v>
      </c>
      <c r="G3" s="3" t="s">
        <v>113</v>
      </c>
      <c r="H3" s="3" t="s">
        <v>114</v>
      </c>
      <c r="I3" s="3" t="s">
        <v>115</v>
      </c>
      <c r="J3" s="3" t="s">
        <v>20</v>
      </c>
    </row>
    <row r="4" spans="1:13">
      <c r="A4" t="s">
        <v>116</v>
      </c>
      <c r="B4" t="s">
        <v>117</v>
      </c>
      <c r="C4" t="s">
        <v>118</v>
      </c>
      <c r="D4" t="s">
        <v>49</v>
      </c>
      <c r="E4" s="4">
        <v>46101</v>
      </c>
      <c r="F4" s="4">
        <v>46466</v>
      </c>
      <c r="G4">
        <f t="shared" ref="G4:G15" si="0">F4-$M$2</f>
        <v>177</v>
      </c>
      <c r="H4" t="str">
        <f t="shared" ref="H4:H15" si="1">IF(G4&lt;0,"Vencido",IF(G4&lt;=30,"Vence em até 30 dias","Regular"))</f>
        <v>Regular</v>
      </c>
      <c r="I4" t="s">
        <v>119</v>
      </c>
      <c r="J4" t="s">
        <v>120</v>
      </c>
    </row>
    <row r="5" spans="1:13">
      <c r="A5" t="s">
        <v>121</v>
      </c>
      <c r="B5" t="s">
        <v>122</v>
      </c>
      <c r="C5" t="s">
        <v>123</v>
      </c>
      <c r="D5" t="s">
        <v>49</v>
      </c>
      <c r="E5" s="4">
        <v>46085</v>
      </c>
      <c r="F5" s="4">
        <v>46815</v>
      </c>
      <c r="G5">
        <f t="shared" si="0"/>
        <v>526</v>
      </c>
      <c r="H5" t="str">
        <f t="shared" si="1"/>
        <v>Regular</v>
      </c>
      <c r="I5" t="s">
        <v>124</v>
      </c>
      <c r="J5" t="s">
        <v>120</v>
      </c>
    </row>
    <row r="6" spans="1:13">
      <c r="A6" t="s">
        <v>125</v>
      </c>
      <c r="B6" t="s">
        <v>126</v>
      </c>
      <c r="C6" t="s">
        <v>127</v>
      </c>
      <c r="D6" t="s">
        <v>49</v>
      </c>
      <c r="E6" s="4">
        <v>46164</v>
      </c>
      <c r="F6" s="4">
        <v>46529</v>
      </c>
      <c r="G6">
        <f t="shared" si="0"/>
        <v>240</v>
      </c>
      <c r="H6" t="str">
        <f t="shared" si="1"/>
        <v>Regular</v>
      </c>
      <c r="I6" t="s">
        <v>124</v>
      </c>
      <c r="J6" t="s">
        <v>120</v>
      </c>
    </row>
    <row r="7" spans="1:13">
      <c r="A7" t="s">
        <v>128</v>
      </c>
      <c r="B7" t="s">
        <v>129</v>
      </c>
      <c r="C7" t="s">
        <v>130</v>
      </c>
      <c r="D7" t="s">
        <v>46</v>
      </c>
      <c r="E7" s="4">
        <v>46202</v>
      </c>
      <c r="F7" s="4">
        <v>46472</v>
      </c>
      <c r="G7">
        <f t="shared" si="0"/>
        <v>183</v>
      </c>
      <c r="H7" t="str">
        <f t="shared" si="1"/>
        <v>Regular</v>
      </c>
      <c r="I7" t="s">
        <v>131</v>
      </c>
      <c r="J7" t="s">
        <v>120</v>
      </c>
    </row>
    <row r="8" spans="1:13">
      <c r="A8" t="s">
        <v>132</v>
      </c>
      <c r="B8" t="s">
        <v>133</v>
      </c>
      <c r="C8" t="s">
        <v>134</v>
      </c>
      <c r="D8" t="s">
        <v>39</v>
      </c>
      <c r="E8" s="4">
        <v>46193</v>
      </c>
      <c r="F8" s="4">
        <v>46558</v>
      </c>
      <c r="G8">
        <f t="shared" si="0"/>
        <v>269</v>
      </c>
      <c r="H8" t="str">
        <f t="shared" si="1"/>
        <v>Regular</v>
      </c>
      <c r="I8" t="s">
        <v>124</v>
      </c>
      <c r="J8" t="s">
        <v>120</v>
      </c>
    </row>
    <row r="9" spans="1:13">
      <c r="A9" t="s">
        <v>135</v>
      </c>
      <c r="B9" t="s">
        <v>136</v>
      </c>
      <c r="C9" t="s">
        <v>123</v>
      </c>
      <c r="D9" t="s">
        <v>46</v>
      </c>
      <c r="E9" s="4">
        <v>46067</v>
      </c>
      <c r="F9" s="4">
        <v>46432</v>
      </c>
      <c r="G9">
        <f t="shared" si="0"/>
        <v>143</v>
      </c>
      <c r="H9" t="str">
        <f t="shared" si="1"/>
        <v>Regular</v>
      </c>
      <c r="I9" t="s">
        <v>124</v>
      </c>
      <c r="J9" t="s">
        <v>120</v>
      </c>
    </row>
    <row r="10" spans="1:13">
      <c r="A10" t="s">
        <v>137</v>
      </c>
      <c r="B10" t="s">
        <v>138</v>
      </c>
      <c r="C10" t="s">
        <v>130</v>
      </c>
      <c r="D10" t="s">
        <v>46</v>
      </c>
      <c r="E10" s="4">
        <v>46166</v>
      </c>
      <c r="F10" s="4">
        <v>46346</v>
      </c>
      <c r="G10">
        <f t="shared" si="0"/>
        <v>57</v>
      </c>
      <c r="H10" t="str">
        <f t="shared" si="1"/>
        <v>Regular</v>
      </c>
      <c r="I10" t="s">
        <v>139</v>
      </c>
      <c r="J10" t="s">
        <v>120</v>
      </c>
    </row>
    <row r="11" spans="1:13">
      <c r="A11" t="s">
        <v>140</v>
      </c>
      <c r="B11" t="s">
        <v>141</v>
      </c>
      <c r="C11" t="s">
        <v>134</v>
      </c>
      <c r="D11" t="s">
        <v>55</v>
      </c>
      <c r="E11" s="4">
        <v>46031</v>
      </c>
      <c r="F11" s="4">
        <v>46301</v>
      </c>
      <c r="G11">
        <f t="shared" si="0"/>
        <v>12</v>
      </c>
      <c r="H11" t="str">
        <f t="shared" si="1"/>
        <v>Vence em até 30 dias</v>
      </c>
      <c r="I11" t="s">
        <v>131</v>
      </c>
      <c r="J11" t="s">
        <v>120</v>
      </c>
    </row>
    <row r="12" spans="1:13">
      <c r="A12" t="s">
        <v>142</v>
      </c>
      <c r="B12" t="s">
        <v>143</v>
      </c>
      <c r="C12" t="s">
        <v>130</v>
      </c>
      <c r="D12" t="s">
        <v>46</v>
      </c>
      <c r="E12" s="4">
        <v>46119</v>
      </c>
      <c r="F12" s="4">
        <v>46484</v>
      </c>
      <c r="G12">
        <f t="shared" si="0"/>
        <v>195</v>
      </c>
      <c r="H12" t="str">
        <f t="shared" si="1"/>
        <v>Regular</v>
      </c>
      <c r="I12" t="s">
        <v>139</v>
      </c>
      <c r="J12" t="s">
        <v>120</v>
      </c>
    </row>
    <row r="13" spans="1:13">
      <c r="A13" t="s">
        <v>144</v>
      </c>
      <c r="B13" t="s">
        <v>145</v>
      </c>
      <c r="C13" t="s">
        <v>118</v>
      </c>
      <c r="D13" t="s">
        <v>46</v>
      </c>
      <c r="E13" s="4">
        <v>46184</v>
      </c>
      <c r="F13" s="4">
        <v>46454</v>
      </c>
      <c r="G13">
        <f t="shared" si="0"/>
        <v>165</v>
      </c>
      <c r="H13" t="str">
        <f t="shared" si="1"/>
        <v>Regular</v>
      </c>
      <c r="I13" t="s">
        <v>139</v>
      </c>
      <c r="J13" t="s">
        <v>120</v>
      </c>
    </row>
    <row r="14" spans="1:13">
      <c r="A14" t="s">
        <v>146</v>
      </c>
      <c r="B14" t="s">
        <v>147</v>
      </c>
      <c r="C14" t="s">
        <v>130</v>
      </c>
      <c r="D14" t="s">
        <v>39</v>
      </c>
      <c r="E14" s="4">
        <v>46175</v>
      </c>
      <c r="F14" s="4">
        <v>46905</v>
      </c>
      <c r="G14">
        <f t="shared" si="0"/>
        <v>616</v>
      </c>
      <c r="H14" t="str">
        <f t="shared" si="1"/>
        <v>Regular</v>
      </c>
      <c r="I14" t="s">
        <v>131</v>
      </c>
      <c r="J14" t="s">
        <v>120</v>
      </c>
    </row>
    <row r="15" spans="1:13">
      <c r="A15" t="s">
        <v>148</v>
      </c>
      <c r="B15" t="s">
        <v>149</v>
      </c>
      <c r="C15" t="s">
        <v>130</v>
      </c>
      <c r="D15" t="s">
        <v>55</v>
      </c>
      <c r="E15" s="4">
        <v>46045</v>
      </c>
      <c r="F15" s="4">
        <v>46315</v>
      </c>
      <c r="G15">
        <f t="shared" si="0"/>
        <v>26</v>
      </c>
      <c r="H15" t="str">
        <f t="shared" si="1"/>
        <v>Vence em até 30 dias</v>
      </c>
      <c r="I15" t="s">
        <v>124</v>
      </c>
      <c r="J15" t="s">
        <v>120</v>
      </c>
    </row>
  </sheetData>
  <mergeCells count="1">
    <mergeCell ref="A1:J1"/>
  </mergeCells>
  <conditionalFormatting sqref="H4:H15">
    <cfRule type="expression" dxfId="28" priority="1">
      <formula>H4="Vencido"</formula>
    </cfRule>
    <cfRule type="expression" dxfId="27" priority="2">
      <formula>H4="Vence em até 30 dias"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topLeftCell="F1" workbookViewId="0">
      <selection activeCell="J2" sqref="J1:J1048576"/>
    </sheetView>
  </sheetViews>
  <sheetFormatPr defaultRowHeight="14.25"/>
  <cols>
    <col min="1" max="1" width="12.75" style="14" customWidth="1"/>
    <col min="2" max="2" width="18" style="14" customWidth="1"/>
    <col min="3" max="3" width="24" style="14" customWidth="1"/>
    <col min="4" max="4" width="18" style="14" customWidth="1"/>
    <col min="5" max="5" width="18" style="16" customWidth="1"/>
    <col min="6" max="6" width="18" style="14" customWidth="1"/>
    <col min="7" max="7" width="18" style="19" customWidth="1"/>
    <col min="8" max="9" width="18" style="14" customWidth="1"/>
    <col min="10" max="10" width="18" style="19" customWidth="1"/>
    <col min="11" max="12" width="18" style="14" customWidth="1"/>
    <col min="14" max="14" width="16" bestFit="1" customWidth="1"/>
    <col min="15" max="15" width="11.75" bestFit="1" customWidth="1"/>
  </cols>
  <sheetData>
    <row r="1" spans="1:15" ht="30" customHeight="1">
      <c r="A1" s="9" t="s">
        <v>150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N1" s="3" t="s">
        <v>107</v>
      </c>
      <c r="O1" s="3" t="s">
        <v>108</v>
      </c>
    </row>
    <row r="2" spans="1:15">
      <c r="N2" t="s">
        <v>23</v>
      </c>
      <c r="O2" s="4">
        <v>46289</v>
      </c>
    </row>
    <row r="3" spans="1:15" s="14" customFormat="1" ht="17.25" customHeight="1">
      <c r="A3" s="3" t="s">
        <v>151</v>
      </c>
      <c r="B3" s="3" t="s">
        <v>111</v>
      </c>
      <c r="C3" s="3" t="s">
        <v>152</v>
      </c>
      <c r="D3" s="3" t="s">
        <v>110</v>
      </c>
      <c r="E3" s="17" t="s">
        <v>108</v>
      </c>
      <c r="F3" s="3" t="s">
        <v>153</v>
      </c>
      <c r="G3" s="20" t="s">
        <v>154</v>
      </c>
      <c r="H3" s="3" t="s">
        <v>155</v>
      </c>
      <c r="I3" s="3" t="s">
        <v>156</v>
      </c>
      <c r="J3" s="20" t="s">
        <v>157</v>
      </c>
      <c r="K3" s="3" t="s">
        <v>158</v>
      </c>
      <c r="L3" s="3" t="s">
        <v>20</v>
      </c>
    </row>
    <row r="4" spans="1:15">
      <c r="A4" s="14" t="s">
        <v>159</v>
      </c>
      <c r="B4" s="15">
        <v>46224</v>
      </c>
      <c r="C4" s="14" t="s">
        <v>160</v>
      </c>
      <c r="D4" s="14" t="s">
        <v>161</v>
      </c>
      <c r="E4" s="18">
        <v>2551.5300000000002</v>
      </c>
      <c r="F4" s="14" t="s">
        <v>74</v>
      </c>
      <c r="G4" s="15">
        <v>46244</v>
      </c>
      <c r="H4" s="14" t="s">
        <v>162</v>
      </c>
      <c r="I4" s="14" t="s">
        <v>163</v>
      </c>
      <c r="J4" s="15">
        <v>46243</v>
      </c>
      <c r="K4" s="14">
        <f t="shared" ref="K4:K38" si="0">G4-$O$2</f>
        <v>-45</v>
      </c>
      <c r="L4" s="14" t="s">
        <v>164</v>
      </c>
    </row>
    <row r="5" spans="1:15">
      <c r="A5" s="14" t="s">
        <v>165</v>
      </c>
      <c r="B5" s="15">
        <v>46217</v>
      </c>
      <c r="C5" s="14" t="s">
        <v>166</v>
      </c>
      <c r="D5" s="14" t="s">
        <v>161</v>
      </c>
      <c r="E5" s="18">
        <v>2078.15</v>
      </c>
      <c r="F5" s="14" t="s">
        <v>74</v>
      </c>
      <c r="G5" s="15">
        <v>46237</v>
      </c>
      <c r="H5" s="14" t="s">
        <v>162</v>
      </c>
      <c r="I5" s="14" t="s">
        <v>163</v>
      </c>
      <c r="J5" s="15">
        <v>46233</v>
      </c>
      <c r="K5" s="14">
        <f t="shared" si="0"/>
        <v>-52</v>
      </c>
      <c r="L5" s="14" t="s">
        <v>164</v>
      </c>
    </row>
    <row r="6" spans="1:15">
      <c r="A6" s="14" t="s">
        <v>167</v>
      </c>
      <c r="B6" s="15">
        <v>46237</v>
      </c>
      <c r="C6" s="14" t="s">
        <v>168</v>
      </c>
      <c r="D6" s="14" t="s">
        <v>169</v>
      </c>
      <c r="E6" s="18">
        <v>3335.74</v>
      </c>
      <c r="F6" s="14" t="s">
        <v>57</v>
      </c>
      <c r="G6" s="15">
        <v>46257</v>
      </c>
      <c r="H6" s="14" t="s">
        <v>162</v>
      </c>
      <c r="I6" s="14" t="s">
        <v>163</v>
      </c>
      <c r="J6" s="15">
        <v>46256</v>
      </c>
      <c r="K6" s="14">
        <f t="shared" si="0"/>
        <v>-32</v>
      </c>
      <c r="L6" s="14" t="s">
        <v>164</v>
      </c>
    </row>
    <row r="7" spans="1:15">
      <c r="A7" s="14" t="s">
        <v>170</v>
      </c>
      <c r="B7" s="15">
        <v>46257</v>
      </c>
      <c r="C7" s="14" t="s">
        <v>168</v>
      </c>
      <c r="D7" s="14" t="s">
        <v>171</v>
      </c>
      <c r="E7" s="18">
        <v>7596.42</v>
      </c>
      <c r="F7" s="14" t="s">
        <v>36</v>
      </c>
      <c r="G7" s="15">
        <v>46277</v>
      </c>
      <c r="H7" s="14" t="s">
        <v>162</v>
      </c>
      <c r="I7" s="14" t="s">
        <v>41</v>
      </c>
      <c r="J7" s="15"/>
      <c r="K7" s="14">
        <f t="shared" si="0"/>
        <v>-12</v>
      </c>
      <c r="L7" s="14" t="s">
        <v>164</v>
      </c>
    </row>
    <row r="8" spans="1:15">
      <c r="A8" s="14" t="s">
        <v>172</v>
      </c>
      <c r="B8" s="15">
        <v>46273</v>
      </c>
      <c r="C8" s="14" t="s">
        <v>173</v>
      </c>
      <c r="D8" s="14" t="s">
        <v>169</v>
      </c>
      <c r="E8" s="18">
        <v>4112.21</v>
      </c>
      <c r="F8" s="14" t="s">
        <v>74</v>
      </c>
      <c r="G8" s="15">
        <v>46288</v>
      </c>
      <c r="H8" s="14" t="s">
        <v>162</v>
      </c>
      <c r="I8" s="14" t="s">
        <v>163</v>
      </c>
      <c r="J8" s="15">
        <v>46288</v>
      </c>
      <c r="K8" s="14">
        <f t="shared" si="0"/>
        <v>-1</v>
      </c>
      <c r="L8" s="14" t="s">
        <v>164</v>
      </c>
    </row>
    <row r="9" spans="1:15">
      <c r="A9" s="14" t="s">
        <v>174</v>
      </c>
      <c r="B9" s="15">
        <v>46229</v>
      </c>
      <c r="C9" s="14" t="s">
        <v>175</v>
      </c>
      <c r="D9" s="14" t="s">
        <v>171</v>
      </c>
      <c r="E9" s="18">
        <v>4739.8100000000004</v>
      </c>
      <c r="F9" s="14" t="s">
        <v>74</v>
      </c>
      <c r="G9" s="15">
        <v>46249</v>
      </c>
      <c r="H9" s="14" t="s">
        <v>176</v>
      </c>
      <c r="I9" s="14" t="s">
        <v>163</v>
      </c>
      <c r="J9" s="15">
        <v>46248</v>
      </c>
      <c r="K9" s="14">
        <f t="shared" si="0"/>
        <v>-40</v>
      </c>
      <c r="L9" s="14" t="s">
        <v>164</v>
      </c>
    </row>
    <row r="10" spans="1:15">
      <c r="A10" s="14" t="s">
        <v>177</v>
      </c>
      <c r="B10" s="15">
        <v>46208</v>
      </c>
      <c r="C10" s="14" t="s">
        <v>178</v>
      </c>
      <c r="D10" s="14" t="s">
        <v>169</v>
      </c>
      <c r="E10" s="18">
        <v>3975.98</v>
      </c>
      <c r="F10" s="14" t="s">
        <v>57</v>
      </c>
      <c r="G10" s="15">
        <v>46228</v>
      </c>
      <c r="H10" s="14" t="s">
        <v>162</v>
      </c>
      <c r="I10" s="14" t="s">
        <v>163</v>
      </c>
      <c r="J10" s="15">
        <v>46228</v>
      </c>
      <c r="K10" s="14">
        <f t="shared" si="0"/>
        <v>-61</v>
      </c>
      <c r="L10" s="14" t="s">
        <v>164</v>
      </c>
    </row>
    <row r="11" spans="1:15">
      <c r="A11" s="14" t="s">
        <v>179</v>
      </c>
      <c r="B11" s="15">
        <v>46222</v>
      </c>
      <c r="C11" s="14" t="s">
        <v>160</v>
      </c>
      <c r="D11" s="14" t="s">
        <v>171</v>
      </c>
      <c r="E11" s="18">
        <v>4800.32</v>
      </c>
      <c r="F11" s="14" t="s">
        <v>36</v>
      </c>
      <c r="G11" s="15">
        <v>46237</v>
      </c>
      <c r="H11" s="14" t="s">
        <v>162</v>
      </c>
      <c r="I11" s="14" t="s">
        <v>41</v>
      </c>
      <c r="J11" s="15"/>
      <c r="K11" s="14">
        <f t="shared" si="0"/>
        <v>-52</v>
      </c>
      <c r="L11" s="14" t="s">
        <v>164</v>
      </c>
    </row>
    <row r="12" spans="1:15">
      <c r="A12" s="14" t="s">
        <v>180</v>
      </c>
      <c r="B12" s="15">
        <v>46269</v>
      </c>
      <c r="C12" s="14" t="s">
        <v>181</v>
      </c>
      <c r="D12" s="14" t="s">
        <v>169</v>
      </c>
      <c r="E12" s="18">
        <v>7700.31</v>
      </c>
      <c r="F12" s="14" t="s">
        <v>36</v>
      </c>
      <c r="G12" s="15">
        <v>46289</v>
      </c>
      <c r="H12" s="14" t="s">
        <v>176</v>
      </c>
      <c r="I12" s="14" t="s">
        <v>163</v>
      </c>
      <c r="J12" s="15">
        <v>46285</v>
      </c>
      <c r="K12" s="14">
        <f t="shared" si="0"/>
        <v>0</v>
      </c>
      <c r="L12" s="14" t="s">
        <v>164</v>
      </c>
    </row>
    <row r="13" spans="1:15">
      <c r="A13" s="14" t="s">
        <v>182</v>
      </c>
      <c r="B13" s="15">
        <v>46258</v>
      </c>
      <c r="C13" s="14" t="s">
        <v>175</v>
      </c>
      <c r="D13" s="14" t="s">
        <v>161</v>
      </c>
      <c r="E13" s="18">
        <v>7746.7</v>
      </c>
      <c r="F13" s="14" t="s">
        <v>36</v>
      </c>
      <c r="G13" s="15">
        <v>46288</v>
      </c>
      <c r="H13" s="14" t="s">
        <v>162</v>
      </c>
      <c r="I13" s="14" t="s">
        <v>163</v>
      </c>
      <c r="J13" s="15">
        <v>46287</v>
      </c>
      <c r="K13" s="14">
        <f t="shared" si="0"/>
        <v>-1</v>
      </c>
      <c r="L13" s="14" t="s">
        <v>164</v>
      </c>
    </row>
    <row r="14" spans="1:15">
      <c r="A14" s="14" t="s">
        <v>183</v>
      </c>
      <c r="B14" s="15">
        <v>46237</v>
      </c>
      <c r="C14" s="14" t="s">
        <v>173</v>
      </c>
      <c r="D14" s="14" t="s">
        <v>184</v>
      </c>
      <c r="E14" s="18">
        <v>6352.33</v>
      </c>
      <c r="F14" s="14" t="s">
        <v>57</v>
      </c>
      <c r="G14" s="15">
        <v>46252</v>
      </c>
      <c r="H14" s="14" t="s">
        <v>162</v>
      </c>
      <c r="I14" s="14" t="s">
        <v>41</v>
      </c>
      <c r="J14" s="15"/>
      <c r="K14" s="14">
        <f t="shared" si="0"/>
        <v>-37</v>
      </c>
      <c r="L14" s="14" t="s">
        <v>164</v>
      </c>
    </row>
    <row r="15" spans="1:15">
      <c r="A15" s="14" t="s">
        <v>185</v>
      </c>
      <c r="B15" s="15">
        <v>46239</v>
      </c>
      <c r="C15" s="14" t="s">
        <v>175</v>
      </c>
      <c r="D15" s="14" t="s">
        <v>161</v>
      </c>
      <c r="E15" s="18">
        <v>1365.6</v>
      </c>
      <c r="F15" s="14" t="s">
        <v>74</v>
      </c>
      <c r="G15" s="15">
        <v>46254</v>
      </c>
      <c r="H15" s="14" t="s">
        <v>176</v>
      </c>
      <c r="I15" s="14" t="s">
        <v>41</v>
      </c>
      <c r="J15" s="15"/>
      <c r="K15" s="14">
        <f t="shared" si="0"/>
        <v>-35</v>
      </c>
      <c r="L15" s="14" t="s">
        <v>164</v>
      </c>
    </row>
    <row r="16" spans="1:15">
      <c r="A16" s="14" t="s">
        <v>186</v>
      </c>
      <c r="B16" s="15">
        <v>46242</v>
      </c>
      <c r="C16" s="14" t="s">
        <v>181</v>
      </c>
      <c r="D16" s="14" t="s">
        <v>161</v>
      </c>
      <c r="E16" s="18">
        <v>499.18</v>
      </c>
      <c r="F16" s="14" t="s">
        <v>74</v>
      </c>
      <c r="G16" s="15">
        <v>46257</v>
      </c>
      <c r="H16" s="14" t="s">
        <v>162</v>
      </c>
      <c r="I16" s="14" t="s">
        <v>163</v>
      </c>
      <c r="J16" s="15">
        <v>46257</v>
      </c>
      <c r="K16" s="14">
        <f t="shared" si="0"/>
        <v>-32</v>
      </c>
      <c r="L16" s="14" t="s">
        <v>164</v>
      </c>
    </row>
    <row r="17" spans="1:12">
      <c r="A17" s="14" t="s">
        <v>187</v>
      </c>
      <c r="B17" s="15">
        <v>46223</v>
      </c>
      <c r="C17" s="14" t="s">
        <v>166</v>
      </c>
      <c r="D17" s="14" t="s">
        <v>169</v>
      </c>
      <c r="E17" s="18">
        <v>371.02</v>
      </c>
      <c r="F17" s="14" t="s">
        <v>36</v>
      </c>
      <c r="G17" s="15">
        <v>46243</v>
      </c>
      <c r="H17" s="14" t="s">
        <v>176</v>
      </c>
      <c r="I17" s="14" t="s">
        <v>163</v>
      </c>
      <c r="J17" s="15">
        <v>46240</v>
      </c>
      <c r="K17" s="14">
        <f t="shared" si="0"/>
        <v>-46</v>
      </c>
      <c r="L17" s="14" t="s">
        <v>164</v>
      </c>
    </row>
    <row r="18" spans="1:12">
      <c r="A18" s="14" t="s">
        <v>188</v>
      </c>
      <c r="B18" s="15">
        <v>46258</v>
      </c>
      <c r="C18" s="14" t="s">
        <v>173</v>
      </c>
      <c r="D18" s="14" t="s">
        <v>161</v>
      </c>
      <c r="E18" s="18">
        <v>5515.74</v>
      </c>
      <c r="F18" s="14" t="s">
        <v>44</v>
      </c>
      <c r="G18" s="15">
        <v>46273</v>
      </c>
      <c r="H18" s="14" t="s">
        <v>176</v>
      </c>
      <c r="I18" s="14" t="s">
        <v>163</v>
      </c>
      <c r="J18" s="15">
        <v>46270</v>
      </c>
      <c r="K18" s="14">
        <f t="shared" si="0"/>
        <v>-16</v>
      </c>
      <c r="L18" s="14" t="s">
        <v>164</v>
      </c>
    </row>
    <row r="19" spans="1:12">
      <c r="A19" s="14" t="s">
        <v>189</v>
      </c>
      <c r="B19" s="15">
        <v>46214</v>
      </c>
      <c r="C19" s="14" t="s">
        <v>178</v>
      </c>
      <c r="D19" s="14" t="s">
        <v>171</v>
      </c>
      <c r="E19" s="18">
        <v>1832.2</v>
      </c>
      <c r="F19" s="14" t="s">
        <v>54</v>
      </c>
      <c r="G19" s="15">
        <v>46229</v>
      </c>
      <c r="H19" s="14" t="s">
        <v>162</v>
      </c>
      <c r="I19" s="14" t="s">
        <v>163</v>
      </c>
      <c r="J19" s="15">
        <v>46229</v>
      </c>
      <c r="K19" s="14">
        <f t="shared" si="0"/>
        <v>-60</v>
      </c>
      <c r="L19" s="14" t="s">
        <v>164</v>
      </c>
    </row>
    <row r="20" spans="1:12">
      <c r="A20" s="14" t="s">
        <v>190</v>
      </c>
      <c r="B20" s="15">
        <v>46222</v>
      </c>
      <c r="C20" s="14" t="s">
        <v>160</v>
      </c>
      <c r="D20" s="14" t="s">
        <v>161</v>
      </c>
      <c r="E20" s="18">
        <v>6042.84</v>
      </c>
      <c r="F20" s="14" t="s">
        <v>54</v>
      </c>
      <c r="G20" s="15">
        <v>46242</v>
      </c>
      <c r="H20" s="14" t="s">
        <v>162</v>
      </c>
      <c r="I20" s="14" t="s">
        <v>163</v>
      </c>
      <c r="J20" s="15">
        <v>46238</v>
      </c>
      <c r="K20" s="14">
        <f t="shared" si="0"/>
        <v>-47</v>
      </c>
      <c r="L20" s="14" t="s">
        <v>164</v>
      </c>
    </row>
    <row r="21" spans="1:12">
      <c r="A21" s="14" t="s">
        <v>191</v>
      </c>
      <c r="B21" s="15">
        <v>46231</v>
      </c>
      <c r="C21" s="14" t="s">
        <v>192</v>
      </c>
      <c r="D21" s="14" t="s">
        <v>184</v>
      </c>
      <c r="E21" s="18">
        <v>3110.33</v>
      </c>
      <c r="F21" s="14" t="s">
        <v>36</v>
      </c>
      <c r="G21" s="15">
        <v>46251</v>
      </c>
      <c r="H21" s="14" t="s">
        <v>162</v>
      </c>
      <c r="I21" s="14" t="s">
        <v>163</v>
      </c>
      <c r="J21" s="15">
        <v>46249</v>
      </c>
      <c r="K21" s="14">
        <f t="shared" si="0"/>
        <v>-38</v>
      </c>
      <c r="L21" s="14" t="s">
        <v>164</v>
      </c>
    </row>
    <row r="22" spans="1:12">
      <c r="A22" s="14" t="s">
        <v>193</v>
      </c>
      <c r="B22" s="15">
        <v>46277</v>
      </c>
      <c r="C22" s="14" t="s">
        <v>181</v>
      </c>
      <c r="D22" s="14" t="s">
        <v>194</v>
      </c>
      <c r="E22" s="18">
        <v>2314.2399999999998</v>
      </c>
      <c r="F22" s="14" t="s">
        <v>63</v>
      </c>
      <c r="G22" s="15">
        <v>46307</v>
      </c>
      <c r="H22" s="14" t="s">
        <v>162</v>
      </c>
      <c r="I22" s="14" t="s">
        <v>41</v>
      </c>
      <c r="J22" s="15"/>
      <c r="K22" s="14">
        <f t="shared" si="0"/>
        <v>18</v>
      </c>
      <c r="L22" s="14" t="s">
        <v>164</v>
      </c>
    </row>
    <row r="23" spans="1:12">
      <c r="A23" s="14" t="s">
        <v>195</v>
      </c>
      <c r="B23" s="15">
        <v>46279</v>
      </c>
      <c r="C23" s="14" t="s">
        <v>160</v>
      </c>
      <c r="D23" s="14" t="s">
        <v>194</v>
      </c>
      <c r="E23" s="18">
        <v>7797.16</v>
      </c>
      <c r="F23" s="14" t="s">
        <v>54</v>
      </c>
      <c r="G23" s="15">
        <v>46309</v>
      </c>
      <c r="H23" s="14" t="s">
        <v>162</v>
      </c>
      <c r="I23" s="14" t="s">
        <v>163</v>
      </c>
      <c r="J23" s="15">
        <v>46306</v>
      </c>
      <c r="K23" s="14">
        <f t="shared" si="0"/>
        <v>20</v>
      </c>
      <c r="L23" s="14" t="s">
        <v>164</v>
      </c>
    </row>
    <row r="24" spans="1:12">
      <c r="A24" s="14" t="s">
        <v>196</v>
      </c>
      <c r="B24" s="15">
        <v>46209</v>
      </c>
      <c r="C24" s="14" t="s">
        <v>168</v>
      </c>
      <c r="D24" s="14" t="s">
        <v>184</v>
      </c>
      <c r="E24" s="18">
        <v>3824.74</v>
      </c>
      <c r="F24" s="14" t="s">
        <v>57</v>
      </c>
      <c r="G24" s="15">
        <v>46239</v>
      </c>
      <c r="H24" s="14" t="s">
        <v>162</v>
      </c>
      <c r="I24" s="14" t="s">
        <v>41</v>
      </c>
      <c r="J24" s="15"/>
      <c r="K24" s="14">
        <f t="shared" si="0"/>
        <v>-50</v>
      </c>
      <c r="L24" s="14" t="s">
        <v>164</v>
      </c>
    </row>
    <row r="25" spans="1:12">
      <c r="A25" s="14" t="s">
        <v>197</v>
      </c>
      <c r="B25" s="15">
        <v>46288</v>
      </c>
      <c r="C25" s="14" t="s">
        <v>175</v>
      </c>
      <c r="D25" s="14" t="s">
        <v>171</v>
      </c>
      <c r="E25" s="18">
        <v>6385.34</v>
      </c>
      <c r="F25" s="14" t="s">
        <v>54</v>
      </c>
      <c r="G25" s="15">
        <v>46318</v>
      </c>
      <c r="H25" s="14" t="s">
        <v>162</v>
      </c>
      <c r="I25" s="14" t="s">
        <v>41</v>
      </c>
      <c r="J25" s="15"/>
      <c r="K25" s="14">
        <f t="shared" si="0"/>
        <v>29</v>
      </c>
      <c r="L25" s="14" t="s">
        <v>164</v>
      </c>
    </row>
    <row r="26" spans="1:12">
      <c r="A26" s="14" t="s">
        <v>198</v>
      </c>
      <c r="B26" s="15">
        <v>46253</v>
      </c>
      <c r="C26" s="14" t="s">
        <v>173</v>
      </c>
      <c r="D26" s="14" t="s">
        <v>171</v>
      </c>
      <c r="E26" s="18">
        <v>3029.52</v>
      </c>
      <c r="F26" s="14" t="s">
        <v>63</v>
      </c>
      <c r="G26" s="15">
        <v>46273</v>
      </c>
      <c r="H26" s="14" t="s">
        <v>162</v>
      </c>
      <c r="I26" s="14" t="s">
        <v>41</v>
      </c>
      <c r="J26" s="15"/>
      <c r="K26" s="14">
        <f t="shared" si="0"/>
        <v>-16</v>
      </c>
      <c r="L26" s="14" t="s">
        <v>164</v>
      </c>
    </row>
    <row r="27" spans="1:12">
      <c r="A27" s="14" t="s">
        <v>199</v>
      </c>
      <c r="B27" s="15">
        <v>46208</v>
      </c>
      <c r="C27" s="14" t="s">
        <v>192</v>
      </c>
      <c r="D27" s="14" t="s">
        <v>161</v>
      </c>
      <c r="E27" s="18">
        <v>7760.86</v>
      </c>
      <c r="F27" s="14" t="s">
        <v>57</v>
      </c>
      <c r="G27" s="15">
        <v>46228</v>
      </c>
      <c r="H27" s="14" t="s">
        <v>162</v>
      </c>
      <c r="I27" s="14" t="s">
        <v>41</v>
      </c>
      <c r="J27" s="15"/>
      <c r="K27" s="14">
        <f t="shared" si="0"/>
        <v>-61</v>
      </c>
      <c r="L27" s="14" t="s">
        <v>164</v>
      </c>
    </row>
    <row r="28" spans="1:12">
      <c r="A28" s="14" t="s">
        <v>200</v>
      </c>
      <c r="B28" s="15">
        <v>46212</v>
      </c>
      <c r="C28" s="14" t="s">
        <v>166</v>
      </c>
      <c r="D28" s="14" t="s">
        <v>161</v>
      </c>
      <c r="E28" s="18">
        <v>5700.95</v>
      </c>
      <c r="F28" s="14" t="s">
        <v>44</v>
      </c>
      <c r="G28" s="15">
        <v>46227</v>
      </c>
      <c r="H28" s="14" t="s">
        <v>176</v>
      </c>
      <c r="I28" s="14" t="s">
        <v>41</v>
      </c>
      <c r="J28" s="15"/>
      <c r="K28" s="14">
        <f t="shared" si="0"/>
        <v>-62</v>
      </c>
      <c r="L28" s="14" t="s">
        <v>164</v>
      </c>
    </row>
    <row r="29" spans="1:12">
      <c r="A29" s="14" t="s">
        <v>201</v>
      </c>
      <c r="B29" s="15">
        <v>46234</v>
      </c>
      <c r="C29" s="14" t="s">
        <v>168</v>
      </c>
      <c r="D29" s="14" t="s">
        <v>194</v>
      </c>
      <c r="E29" s="18">
        <v>3484.29</v>
      </c>
      <c r="F29" s="14" t="s">
        <v>36</v>
      </c>
      <c r="G29" s="15">
        <v>46254</v>
      </c>
      <c r="H29" s="14" t="s">
        <v>176</v>
      </c>
      <c r="I29" s="14" t="s">
        <v>163</v>
      </c>
      <c r="J29" s="15">
        <v>46253</v>
      </c>
      <c r="K29" s="14">
        <f t="shared" si="0"/>
        <v>-35</v>
      </c>
      <c r="L29" s="14" t="s">
        <v>164</v>
      </c>
    </row>
    <row r="30" spans="1:12">
      <c r="A30" s="14" t="s">
        <v>202</v>
      </c>
      <c r="B30" s="15">
        <v>46223</v>
      </c>
      <c r="C30" s="14" t="s">
        <v>181</v>
      </c>
      <c r="D30" s="14" t="s">
        <v>184</v>
      </c>
      <c r="E30" s="18">
        <v>8745.16</v>
      </c>
      <c r="F30" s="14" t="s">
        <v>54</v>
      </c>
      <c r="G30" s="15">
        <v>46238</v>
      </c>
      <c r="H30" s="14" t="s">
        <v>162</v>
      </c>
      <c r="I30" s="14" t="s">
        <v>163</v>
      </c>
      <c r="J30" s="15">
        <v>46234</v>
      </c>
      <c r="K30" s="14">
        <f t="shared" si="0"/>
        <v>-51</v>
      </c>
      <c r="L30" s="14" t="s">
        <v>164</v>
      </c>
    </row>
    <row r="31" spans="1:12">
      <c r="A31" s="14" t="s">
        <v>203</v>
      </c>
      <c r="B31" s="15">
        <v>46252</v>
      </c>
      <c r="C31" s="14" t="s">
        <v>192</v>
      </c>
      <c r="D31" s="14" t="s">
        <v>161</v>
      </c>
      <c r="E31" s="18">
        <v>7439.8</v>
      </c>
      <c r="F31" s="14" t="s">
        <v>63</v>
      </c>
      <c r="G31" s="15">
        <v>46267</v>
      </c>
      <c r="H31" s="14" t="s">
        <v>176</v>
      </c>
      <c r="I31" s="14" t="s">
        <v>163</v>
      </c>
      <c r="J31" s="15">
        <v>46267</v>
      </c>
      <c r="K31" s="14">
        <f t="shared" si="0"/>
        <v>-22</v>
      </c>
      <c r="L31" s="14" t="s">
        <v>164</v>
      </c>
    </row>
    <row r="32" spans="1:12">
      <c r="A32" s="14" t="s">
        <v>204</v>
      </c>
      <c r="B32" s="15">
        <v>46206</v>
      </c>
      <c r="C32" s="14" t="s">
        <v>168</v>
      </c>
      <c r="D32" s="14" t="s">
        <v>161</v>
      </c>
      <c r="E32" s="18">
        <v>4844.5</v>
      </c>
      <c r="F32" s="14" t="s">
        <v>57</v>
      </c>
      <c r="G32" s="15">
        <v>46236</v>
      </c>
      <c r="H32" s="14" t="s">
        <v>162</v>
      </c>
      <c r="I32" s="14" t="s">
        <v>163</v>
      </c>
      <c r="J32" s="15">
        <v>46235</v>
      </c>
      <c r="K32" s="14">
        <f t="shared" si="0"/>
        <v>-53</v>
      </c>
      <c r="L32" s="14" t="s">
        <v>164</v>
      </c>
    </row>
    <row r="33" spans="1:12">
      <c r="A33" s="14" t="s">
        <v>205</v>
      </c>
      <c r="B33" s="15">
        <v>46216</v>
      </c>
      <c r="C33" s="14" t="s">
        <v>173</v>
      </c>
      <c r="D33" s="14" t="s">
        <v>171</v>
      </c>
      <c r="E33" s="18">
        <v>8577.56</v>
      </c>
      <c r="F33" s="14" t="s">
        <v>63</v>
      </c>
      <c r="G33" s="15">
        <v>46246</v>
      </c>
      <c r="H33" s="14" t="s">
        <v>162</v>
      </c>
      <c r="I33" s="14" t="s">
        <v>163</v>
      </c>
      <c r="J33" s="15">
        <v>46246</v>
      </c>
      <c r="K33" s="14">
        <f t="shared" si="0"/>
        <v>-43</v>
      </c>
      <c r="L33" s="14" t="s">
        <v>164</v>
      </c>
    </row>
    <row r="34" spans="1:12">
      <c r="A34" s="14" t="s">
        <v>206</v>
      </c>
      <c r="B34" s="15">
        <v>46280</v>
      </c>
      <c r="C34" s="14" t="s">
        <v>192</v>
      </c>
      <c r="D34" s="14" t="s">
        <v>194</v>
      </c>
      <c r="E34" s="18">
        <v>4410.3900000000003</v>
      </c>
      <c r="F34" s="14" t="s">
        <v>54</v>
      </c>
      <c r="G34" s="15">
        <v>46300</v>
      </c>
      <c r="H34" s="14" t="s">
        <v>162</v>
      </c>
      <c r="I34" s="14" t="s">
        <v>163</v>
      </c>
      <c r="J34" s="15">
        <v>46300</v>
      </c>
      <c r="K34" s="14">
        <f t="shared" si="0"/>
        <v>11</v>
      </c>
      <c r="L34" s="14" t="s">
        <v>164</v>
      </c>
    </row>
    <row r="35" spans="1:12">
      <c r="A35" s="14" t="s">
        <v>207</v>
      </c>
      <c r="B35" s="15">
        <v>46216</v>
      </c>
      <c r="C35" s="14" t="s">
        <v>166</v>
      </c>
      <c r="D35" s="14" t="s">
        <v>171</v>
      </c>
      <c r="E35" s="18">
        <v>1162.3800000000001</v>
      </c>
      <c r="F35" s="14" t="s">
        <v>63</v>
      </c>
      <c r="G35" s="15">
        <v>46236</v>
      </c>
      <c r="H35" s="14" t="s">
        <v>176</v>
      </c>
      <c r="I35" s="14" t="s">
        <v>163</v>
      </c>
      <c r="J35" s="15">
        <v>46235</v>
      </c>
      <c r="K35" s="14">
        <f t="shared" si="0"/>
        <v>-53</v>
      </c>
      <c r="L35" s="14" t="s">
        <v>164</v>
      </c>
    </row>
    <row r="36" spans="1:12">
      <c r="A36" s="14" t="s">
        <v>208</v>
      </c>
      <c r="B36" s="15">
        <v>46242</v>
      </c>
      <c r="C36" s="14" t="s">
        <v>192</v>
      </c>
      <c r="D36" s="14" t="s">
        <v>161</v>
      </c>
      <c r="E36" s="18">
        <v>1671.87</v>
      </c>
      <c r="F36" s="14" t="s">
        <v>44</v>
      </c>
      <c r="G36" s="15">
        <v>46257</v>
      </c>
      <c r="H36" s="14" t="s">
        <v>176</v>
      </c>
      <c r="I36" s="14" t="s">
        <v>163</v>
      </c>
      <c r="J36" s="15">
        <v>46255</v>
      </c>
      <c r="K36" s="14">
        <f t="shared" si="0"/>
        <v>-32</v>
      </c>
      <c r="L36" s="14" t="s">
        <v>164</v>
      </c>
    </row>
    <row r="37" spans="1:12">
      <c r="A37" s="14" t="s">
        <v>209</v>
      </c>
      <c r="B37" s="15">
        <v>46226</v>
      </c>
      <c r="C37" s="14" t="s">
        <v>181</v>
      </c>
      <c r="D37" s="14" t="s">
        <v>194</v>
      </c>
      <c r="E37" s="18">
        <v>6162.17</v>
      </c>
      <c r="F37" s="14" t="s">
        <v>54</v>
      </c>
      <c r="G37" s="15">
        <v>46256</v>
      </c>
      <c r="H37" s="14" t="s">
        <v>162</v>
      </c>
      <c r="I37" s="14" t="s">
        <v>163</v>
      </c>
      <c r="J37" s="15">
        <v>46252</v>
      </c>
      <c r="K37" s="14">
        <f t="shared" si="0"/>
        <v>-33</v>
      </c>
      <c r="L37" s="14" t="s">
        <v>164</v>
      </c>
    </row>
    <row r="38" spans="1:12">
      <c r="A38" s="14" t="s">
        <v>210</v>
      </c>
      <c r="B38" s="15">
        <v>46286</v>
      </c>
      <c r="C38" s="14" t="s">
        <v>192</v>
      </c>
      <c r="D38" s="14" t="s">
        <v>161</v>
      </c>
      <c r="E38" s="18">
        <v>8003.23</v>
      </c>
      <c r="F38" s="14" t="s">
        <v>44</v>
      </c>
      <c r="G38" s="15">
        <v>46306</v>
      </c>
      <c r="H38" s="14" t="s">
        <v>162</v>
      </c>
      <c r="I38" s="14" t="s">
        <v>163</v>
      </c>
      <c r="J38" s="15">
        <v>46305</v>
      </c>
      <c r="K38" s="14">
        <f t="shared" si="0"/>
        <v>17</v>
      </c>
      <c r="L38" s="14" t="s">
        <v>164</v>
      </c>
    </row>
  </sheetData>
  <mergeCells count="1">
    <mergeCell ref="A1:L1"/>
  </mergeCells>
  <conditionalFormatting sqref="I4:I38">
    <cfRule type="expression" dxfId="26" priority="1">
      <formula>I4="Pendente"</formula>
    </cfRule>
  </conditionalFormatting>
  <dataValidations count="2">
    <dataValidation type="list" sqref="H4:H60">
      <formula1>"Sim,Não"</formula1>
    </dataValidation>
    <dataValidation type="list" sqref="I4:I60">
      <formula1>"Pago,Pendente"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selection activeCell="E27" sqref="E27:F27"/>
    </sheetView>
  </sheetViews>
  <sheetFormatPr defaultRowHeight="14.25"/>
  <cols>
    <col min="1" max="1" width="19" customWidth="1"/>
    <col min="2" max="2" width="24" customWidth="1"/>
    <col min="3" max="4" width="19" customWidth="1"/>
    <col min="5" max="5" width="31" customWidth="1"/>
    <col min="6" max="11" width="19" customWidth="1"/>
  </cols>
  <sheetData>
    <row r="1" spans="1:11" ht="30" customHeight="1">
      <c r="A1" s="9" t="s">
        <v>211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15">
      <c r="A3" s="3" t="s">
        <v>109</v>
      </c>
      <c r="B3" s="3" t="s">
        <v>152</v>
      </c>
      <c r="C3" s="3" t="s">
        <v>110</v>
      </c>
      <c r="D3" s="3" t="s">
        <v>212</v>
      </c>
      <c r="E3" s="3" t="s">
        <v>213</v>
      </c>
      <c r="F3" s="3" t="s">
        <v>214</v>
      </c>
      <c r="G3" s="3" t="s">
        <v>215</v>
      </c>
      <c r="H3" s="3" t="s">
        <v>216</v>
      </c>
      <c r="I3" s="3" t="s">
        <v>217</v>
      </c>
      <c r="J3" s="3" t="s">
        <v>18</v>
      </c>
      <c r="K3" s="3" t="s">
        <v>20</v>
      </c>
    </row>
    <row r="4" spans="1:11">
      <c r="A4" t="s">
        <v>218</v>
      </c>
      <c r="B4" t="s">
        <v>160</v>
      </c>
      <c r="C4" t="s">
        <v>169</v>
      </c>
      <c r="D4" t="s">
        <v>219</v>
      </c>
      <c r="E4" t="s">
        <v>220</v>
      </c>
      <c r="F4">
        <v>8</v>
      </c>
      <c r="G4">
        <v>5</v>
      </c>
      <c r="H4">
        <v>3</v>
      </c>
      <c r="I4" s="5">
        <f t="shared" ref="I4:I11" si="0">IFERROR((G4+H4)/2,0)</f>
        <v>4</v>
      </c>
      <c r="J4" t="s">
        <v>221</v>
      </c>
      <c r="K4" t="s">
        <v>222</v>
      </c>
    </row>
    <row r="5" spans="1:11">
      <c r="A5" t="s">
        <v>223</v>
      </c>
      <c r="B5" t="s">
        <v>168</v>
      </c>
      <c r="C5" t="s">
        <v>171</v>
      </c>
      <c r="D5" t="s">
        <v>224</v>
      </c>
      <c r="E5" t="s">
        <v>225</v>
      </c>
      <c r="F5">
        <v>10</v>
      </c>
      <c r="G5">
        <v>4</v>
      </c>
      <c r="H5">
        <v>5</v>
      </c>
      <c r="I5" s="5">
        <f t="shared" si="0"/>
        <v>4.5</v>
      </c>
      <c r="J5" t="s">
        <v>221</v>
      </c>
      <c r="K5" t="s">
        <v>222</v>
      </c>
    </row>
    <row r="6" spans="1:11">
      <c r="A6" t="s">
        <v>226</v>
      </c>
      <c r="B6" t="s">
        <v>178</v>
      </c>
      <c r="C6" t="s">
        <v>169</v>
      </c>
      <c r="D6" t="s">
        <v>227</v>
      </c>
      <c r="E6" t="s">
        <v>228</v>
      </c>
      <c r="F6">
        <v>3</v>
      </c>
      <c r="G6">
        <v>5</v>
      </c>
      <c r="H6">
        <v>4</v>
      </c>
      <c r="I6" s="5">
        <f t="shared" si="0"/>
        <v>4.5</v>
      </c>
      <c r="J6" t="s">
        <v>221</v>
      </c>
      <c r="K6" t="s">
        <v>222</v>
      </c>
    </row>
    <row r="7" spans="1:11">
      <c r="A7" t="s">
        <v>229</v>
      </c>
      <c r="B7" t="s">
        <v>181</v>
      </c>
      <c r="C7" t="s">
        <v>171</v>
      </c>
      <c r="D7" t="s">
        <v>230</v>
      </c>
      <c r="E7" t="s">
        <v>231</v>
      </c>
      <c r="F7">
        <v>4</v>
      </c>
      <c r="G7">
        <v>4</v>
      </c>
      <c r="H7">
        <v>5</v>
      </c>
      <c r="I7" s="5">
        <f t="shared" si="0"/>
        <v>4.5</v>
      </c>
      <c r="J7" t="s">
        <v>221</v>
      </c>
      <c r="K7" t="s">
        <v>222</v>
      </c>
    </row>
    <row r="8" spans="1:11">
      <c r="A8" t="s">
        <v>232</v>
      </c>
      <c r="B8" t="s">
        <v>173</v>
      </c>
      <c r="C8" t="s">
        <v>161</v>
      </c>
      <c r="D8" t="s">
        <v>233</v>
      </c>
      <c r="E8" t="s">
        <v>234</v>
      </c>
      <c r="F8">
        <v>3</v>
      </c>
      <c r="G8">
        <v>5</v>
      </c>
      <c r="H8">
        <v>5</v>
      </c>
      <c r="I8" s="5">
        <f t="shared" si="0"/>
        <v>5</v>
      </c>
      <c r="J8" t="s">
        <v>221</v>
      </c>
      <c r="K8" t="s">
        <v>222</v>
      </c>
    </row>
    <row r="9" spans="1:11">
      <c r="A9" t="s">
        <v>235</v>
      </c>
      <c r="B9" t="s">
        <v>192</v>
      </c>
      <c r="C9" t="s">
        <v>169</v>
      </c>
      <c r="D9" t="s">
        <v>236</v>
      </c>
      <c r="E9" t="s">
        <v>237</v>
      </c>
      <c r="F9">
        <v>8</v>
      </c>
      <c r="G9">
        <v>3</v>
      </c>
      <c r="H9">
        <v>5</v>
      </c>
      <c r="I9" s="5">
        <f t="shared" si="0"/>
        <v>4</v>
      </c>
      <c r="J9" t="s">
        <v>221</v>
      </c>
      <c r="K9" t="s">
        <v>222</v>
      </c>
    </row>
    <row r="10" spans="1:11">
      <c r="A10" t="s">
        <v>238</v>
      </c>
      <c r="B10" t="s">
        <v>166</v>
      </c>
      <c r="C10" t="s">
        <v>194</v>
      </c>
      <c r="D10" t="s">
        <v>239</v>
      </c>
      <c r="E10" t="s">
        <v>240</v>
      </c>
      <c r="F10">
        <v>3</v>
      </c>
      <c r="G10">
        <v>5</v>
      </c>
      <c r="H10">
        <v>3</v>
      </c>
      <c r="I10" s="5">
        <f t="shared" si="0"/>
        <v>4</v>
      </c>
      <c r="J10" t="s">
        <v>221</v>
      </c>
      <c r="K10" t="s">
        <v>222</v>
      </c>
    </row>
    <row r="11" spans="1:11">
      <c r="A11" t="s">
        <v>241</v>
      </c>
      <c r="B11" t="s">
        <v>175</v>
      </c>
      <c r="C11" t="s">
        <v>171</v>
      </c>
      <c r="D11" t="s">
        <v>242</v>
      </c>
      <c r="E11" t="s">
        <v>243</v>
      </c>
      <c r="F11">
        <v>10</v>
      </c>
      <c r="G11">
        <v>3</v>
      </c>
      <c r="H11">
        <v>3</v>
      </c>
      <c r="I11" s="5">
        <f t="shared" si="0"/>
        <v>3</v>
      </c>
      <c r="J11" t="s">
        <v>221</v>
      </c>
      <c r="K11" t="s">
        <v>222</v>
      </c>
    </row>
  </sheetData>
  <mergeCells count="1">
    <mergeCell ref="A1:K1"/>
  </mergeCells>
  <dataValidations count="1">
    <dataValidation type="list" sqref="J4:J20">
      <formula1>"Ativo,Inativo,Em avaliação"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selection activeCell="C2" sqref="C1:C1048576"/>
    </sheetView>
  </sheetViews>
  <sheetFormatPr defaultColWidth="17.375" defaultRowHeight="14.25"/>
  <cols>
    <col min="1" max="1" width="17.375" style="14"/>
    <col min="2" max="2" width="17.375" style="19"/>
    <col min="3" max="3" width="17.375" style="24"/>
    <col min="4" max="4" width="21.5" style="14" customWidth="1"/>
    <col min="5" max="5" width="23.875" style="14" customWidth="1"/>
    <col min="6" max="6" width="19.75" style="14" customWidth="1"/>
    <col min="7" max="9" width="17.375" style="14"/>
    <col min="10" max="10" width="21.125" style="22" customWidth="1"/>
    <col min="11" max="16384" width="17.375" style="14"/>
  </cols>
  <sheetData>
    <row r="1" spans="1:10" ht="30" customHeight="1">
      <c r="A1" s="21" t="s">
        <v>244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15">
      <c r="A3" s="3" t="s">
        <v>24</v>
      </c>
      <c r="B3" s="20" t="s">
        <v>245</v>
      </c>
      <c r="C3" s="23" t="s">
        <v>246</v>
      </c>
      <c r="D3" s="3" t="s">
        <v>247</v>
      </c>
      <c r="E3" s="3" t="s">
        <v>248</v>
      </c>
      <c r="F3" s="3" t="s">
        <v>29</v>
      </c>
      <c r="G3" s="3" t="s">
        <v>249</v>
      </c>
      <c r="H3" s="3" t="s">
        <v>18</v>
      </c>
      <c r="I3" s="3" t="s">
        <v>30</v>
      </c>
      <c r="J3" s="3" t="s">
        <v>20</v>
      </c>
    </row>
    <row r="4" spans="1:10">
      <c r="A4" s="14" t="s">
        <v>250</v>
      </c>
      <c r="B4" s="15">
        <v>46297</v>
      </c>
      <c r="C4" s="24" t="s">
        <v>251</v>
      </c>
      <c r="D4" s="22" t="s">
        <v>252</v>
      </c>
      <c r="E4" s="22" t="s">
        <v>253</v>
      </c>
      <c r="F4" s="22" t="s">
        <v>39</v>
      </c>
      <c r="G4" s="22" t="s">
        <v>36</v>
      </c>
      <c r="H4" s="22" t="s">
        <v>254</v>
      </c>
      <c r="I4" s="22" t="s">
        <v>59</v>
      </c>
      <c r="J4" s="22" t="s">
        <v>255</v>
      </c>
    </row>
    <row r="5" spans="1:10">
      <c r="A5" s="14" t="s">
        <v>256</v>
      </c>
      <c r="B5" s="15">
        <v>46273</v>
      </c>
      <c r="C5" s="24" t="s">
        <v>257</v>
      </c>
      <c r="D5" s="22" t="s">
        <v>258</v>
      </c>
      <c r="E5" s="22" t="s">
        <v>259</v>
      </c>
      <c r="F5" s="22" t="s">
        <v>39</v>
      </c>
      <c r="G5" s="22" t="s">
        <v>44</v>
      </c>
      <c r="H5" s="22" t="s">
        <v>19</v>
      </c>
      <c r="I5" s="22" t="s">
        <v>66</v>
      </c>
      <c r="J5" s="22" t="s">
        <v>255</v>
      </c>
    </row>
    <row r="6" spans="1:10">
      <c r="A6" s="14" t="s">
        <v>260</v>
      </c>
      <c r="B6" s="15">
        <v>46285</v>
      </c>
      <c r="C6" s="24" t="s">
        <v>257</v>
      </c>
      <c r="D6" s="22" t="s">
        <v>261</v>
      </c>
      <c r="E6" s="22" t="s">
        <v>259</v>
      </c>
      <c r="F6" s="22" t="s">
        <v>46</v>
      </c>
      <c r="G6" s="22" t="s">
        <v>54</v>
      </c>
      <c r="H6" s="22" t="s">
        <v>254</v>
      </c>
      <c r="I6" s="22" t="s">
        <v>40</v>
      </c>
      <c r="J6" s="22" t="s">
        <v>255</v>
      </c>
    </row>
    <row r="7" spans="1:10">
      <c r="A7" s="14" t="s">
        <v>262</v>
      </c>
      <c r="B7" s="15">
        <v>46269</v>
      </c>
      <c r="C7" s="24" t="s">
        <v>263</v>
      </c>
      <c r="D7" s="22" t="s">
        <v>261</v>
      </c>
      <c r="E7" s="22" t="s">
        <v>264</v>
      </c>
      <c r="F7" s="22" t="s">
        <v>46</v>
      </c>
      <c r="G7" s="22" t="s">
        <v>36</v>
      </c>
      <c r="H7" s="22" t="s">
        <v>19</v>
      </c>
      <c r="I7" s="22" t="s">
        <v>59</v>
      </c>
      <c r="J7" s="22" t="s">
        <v>255</v>
      </c>
    </row>
    <row r="8" spans="1:10">
      <c r="A8" s="14" t="s">
        <v>265</v>
      </c>
      <c r="B8" s="15">
        <v>46286</v>
      </c>
      <c r="C8" s="24" t="s">
        <v>257</v>
      </c>
      <c r="D8" s="22" t="s">
        <v>252</v>
      </c>
      <c r="E8" s="22" t="s">
        <v>266</v>
      </c>
      <c r="F8" s="22" t="s">
        <v>39</v>
      </c>
      <c r="G8" s="22" t="s">
        <v>44</v>
      </c>
      <c r="H8" s="22" t="s">
        <v>19</v>
      </c>
      <c r="I8" s="22" t="s">
        <v>59</v>
      </c>
      <c r="J8" s="22" t="s">
        <v>255</v>
      </c>
    </row>
    <row r="9" spans="1:10">
      <c r="A9" s="14" t="s">
        <v>267</v>
      </c>
      <c r="B9" s="15">
        <v>46300</v>
      </c>
      <c r="C9" s="24" t="s">
        <v>268</v>
      </c>
      <c r="D9" s="22" t="s">
        <v>261</v>
      </c>
      <c r="E9" s="22" t="s">
        <v>253</v>
      </c>
      <c r="F9" s="22" t="s">
        <v>49</v>
      </c>
      <c r="G9" s="22" t="s">
        <v>44</v>
      </c>
      <c r="H9" s="22" t="s">
        <v>19</v>
      </c>
      <c r="I9" s="22" t="s">
        <v>40</v>
      </c>
      <c r="J9" s="22" t="s">
        <v>255</v>
      </c>
    </row>
    <row r="10" spans="1:10">
      <c r="A10" s="14" t="s">
        <v>269</v>
      </c>
      <c r="B10" s="15">
        <v>46302</v>
      </c>
      <c r="C10" s="24" t="s">
        <v>270</v>
      </c>
      <c r="D10" s="22" t="s">
        <v>271</v>
      </c>
      <c r="E10" s="22" t="s">
        <v>253</v>
      </c>
      <c r="F10" s="22" t="s">
        <v>39</v>
      </c>
      <c r="G10" s="22" t="s">
        <v>63</v>
      </c>
      <c r="H10" s="22" t="s">
        <v>19</v>
      </c>
      <c r="I10" s="22" t="s">
        <v>59</v>
      </c>
      <c r="J10" s="22" t="s">
        <v>255</v>
      </c>
    </row>
    <row r="11" spans="1:10">
      <c r="A11" s="14" t="s">
        <v>272</v>
      </c>
      <c r="B11" s="15">
        <v>46289</v>
      </c>
      <c r="C11" s="24" t="s">
        <v>263</v>
      </c>
      <c r="D11" s="22" t="s">
        <v>271</v>
      </c>
      <c r="E11" s="22" t="s">
        <v>264</v>
      </c>
      <c r="F11" s="22" t="s">
        <v>55</v>
      </c>
      <c r="G11" s="22" t="s">
        <v>54</v>
      </c>
      <c r="H11" s="22" t="s">
        <v>254</v>
      </c>
      <c r="I11" s="22" t="s">
        <v>40</v>
      </c>
      <c r="J11" s="22" t="s">
        <v>255</v>
      </c>
    </row>
    <row r="12" spans="1:10">
      <c r="A12" s="14" t="s">
        <v>273</v>
      </c>
      <c r="B12" s="15">
        <v>46305</v>
      </c>
      <c r="C12" s="24" t="s">
        <v>257</v>
      </c>
      <c r="D12" s="22" t="s">
        <v>252</v>
      </c>
      <c r="E12" s="22" t="s">
        <v>264</v>
      </c>
      <c r="F12" s="22" t="s">
        <v>49</v>
      </c>
      <c r="G12" s="22" t="s">
        <v>74</v>
      </c>
      <c r="H12" s="22" t="s">
        <v>254</v>
      </c>
      <c r="I12" s="22" t="s">
        <v>66</v>
      </c>
      <c r="J12" s="22" t="s">
        <v>255</v>
      </c>
    </row>
    <row r="13" spans="1:10">
      <c r="A13" s="14" t="s">
        <v>274</v>
      </c>
      <c r="B13" s="15">
        <v>46305</v>
      </c>
      <c r="C13" s="24" t="s">
        <v>270</v>
      </c>
      <c r="D13" s="22" t="s">
        <v>258</v>
      </c>
      <c r="E13" s="22" t="s">
        <v>266</v>
      </c>
      <c r="F13" s="22" t="s">
        <v>46</v>
      </c>
      <c r="G13" s="22" t="s">
        <v>36</v>
      </c>
      <c r="H13" s="22" t="s">
        <v>19</v>
      </c>
      <c r="I13" s="22" t="s">
        <v>59</v>
      </c>
      <c r="J13" s="22" t="s">
        <v>255</v>
      </c>
    </row>
    <row r="14" spans="1:10">
      <c r="A14" s="14" t="s">
        <v>275</v>
      </c>
      <c r="B14" s="15">
        <v>46289</v>
      </c>
      <c r="C14" s="24" t="s">
        <v>257</v>
      </c>
      <c r="D14" s="22" t="s">
        <v>31</v>
      </c>
      <c r="E14" s="22" t="s">
        <v>276</v>
      </c>
      <c r="F14" s="22" t="s">
        <v>49</v>
      </c>
      <c r="G14" s="22" t="s">
        <v>74</v>
      </c>
      <c r="H14" s="22" t="s">
        <v>19</v>
      </c>
      <c r="I14" s="22" t="s">
        <v>59</v>
      </c>
      <c r="J14" s="22" t="s">
        <v>255</v>
      </c>
    </row>
    <row r="15" spans="1:10">
      <c r="A15" s="14" t="s">
        <v>277</v>
      </c>
      <c r="B15" s="15">
        <v>46306</v>
      </c>
      <c r="C15" s="24" t="s">
        <v>268</v>
      </c>
      <c r="D15" s="22" t="s">
        <v>271</v>
      </c>
      <c r="E15" s="22" t="s">
        <v>266</v>
      </c>
      <c r="F15" s="22" t="s">
        <v>39</v>
      </c>
      <c r="G15" s="22" t="s">
        <v>63</v>
      </c>
      <c r="H15" s="22" t="s">
        <v>254</v>
      </c>
      <c r="I15" s="22" t="s">
        <v>59</v>
      </c>
      <c r="J15" s="22" t="s">
        <v>255</v>
      </c>
    </row>
    <row r="16" spans="1:10">
      <c r="A16" s="14" t="s">
        <v>278</v>
      </c>
      <c r="B16" s="15">
        <v>46310</v>
      </c>
      <c r="C16" s="24" t="s">
        <v>268</v>
      </c>
      <c r="D16" s="22" t="s">
        <v>258</v>
      </c>
      <c r="E16" s="22" t="s">
        <v>279</v>
      </c>
      <c r="F16" s="22" t="s">
        <v>49</v>
      </c>
      <c r="G16" s="22" t="s">
        <v>63</v>
      </c>
      <c r="H16" s="22" t="s">
        <v>19</v>
      </c>
      <c r="I16" s="22" t="s">
        <v>40</v>
      </c>
      <c r="J16" s="22" t="s">
        <v>255</v>
      </c>
    </row>
    <row r="17" spans="1:10">
      <c r="A17" s="14" t="s">
        <v>280</v>
      </c>
      <c r="B17" s="15">
        <v>46277</v>
      </c>
      <c r="C17" s="24" t="s">
        <v>257</v>
      </c>
      <c r="D17" s="22" t="s">
        <v>261</v>
      </c>
      <c r="E17" s="22" t="s">
        <v>259</v>
      </c>
      <c r="F17" s="22" t="s">
        <v>46</v>
      </c>
      <c r="G17" s="22" t="s">
        <v>57</v>
      </c>
      <c r="H17" s="22" t="s">
        <v>19</v>
      </c>
      <c r="I17" s="22" t="s">
        <v>40</v>
      </c>
      <c r="J17" s="22" t="s">
        <v>255</v>
      </c>
    </row>
    <row r="18" spans="1:10">
      <c r="A18" s="14" t="s">
        <v>281</v>
      </c>
      <c r="B18" s="15">
        <v>46295</v>
      </c>
      <c r="C18" s="24" t="s">
        <v>251</v>
      </c>
      <c r="D18" s="22" t="s">
        <v>258</v>
      </c>
      <c r="E18" s="22" t="s">
        <v>264</v>
      </c>
      <c r="F18" s="22" t="s">
        <v>39</v>
      </c>
      <c r="G18" s="22" t="s">
        <v>63</v>
      </c>
      <c r="H18" s="22" t="s">
        <v>282</v>
      </c>
      <c r="I18" s="22" t="s">
        <v>59</v>
      </c>
      <c r="J18" s="22" t="s">
        <v>255</v>
      </c>
    </row>
    <row r="19" spans="1:10">
      <c r="A19" s="14" t="s">
        <v>283</v>
      </c>
      <c r="B19" s="15">
        <v>46290</v>
      </c>
      <c r="C19" s="24" t="s">
        <v>268</v>
      </c>
      <c r="D19" s="22" t="s">
        <v>261</v>
      </c>
      <c r="E19" s="22" t="s">
        <v>279</v>
      </c>
      <c r="F19" s="22" t="s">
        <v>46</v>
      </c>
      <c r="G19" s="22" t="s">
        <v>44</v>
      </c>
      <c r="H19" s="22" t="s">
        <v>19</v>
      </c>
      <c r="I19" s="22" t="s">
        <v>40</v>
      </c>
      <c r="J19" s="22" t="s">
        <v>255</v>
      </c>
    </row>
    <row r="20" spans="1:10">
      <c r="A20" s="14" t="s">
        <v>284</v>
      </c>
      <c r="B20" s="15">
        <v>46294</v>
      </c>
      <c r="C20" s="24" t="s">
        <v>268</v>
      </c>
      <c r="D20" s="22" t="s">
        <v>261</v>
      </c>
      <c r="E20" s="22" t="s">
        <v>266</v>
      </c>
      <c r="F20" s="22" t="s">
        <v>46</v>
      </c>
      <c r="G20" s="22" t="s">
        <v>63</v>
      </c>
      <c r="H20" s="22" t="s">
        <v>254</v>
      </c>
      <c r="I20" s="22" t="s">
        <v>66</v>
      </c>
      <c r="J20" s="22" t="s">
        <v>255</v>
      </c>
    </row>
    <row r="21" spans="1:10">
      <c r="A21" s="14" t="s">
        <v>285</v>
      </c>
      <c r="B21" s="15">
        <v>46288</v>
      </c>
      <c r="C21" s="24" t="s">
        <v>257</v>
      </c>
      <c r="D21" s="22" t="s">
        <v>271</v>
      </c>
      <c r="E21" s="22" t="s">
        <v>259</v>
      </c>
      <c r="F21" s="22" t="s">
        <v>39</v>
      </c>
      <c r="G21" s="22" t="s">
        <v>44</v>
      </c>
      <c r="H21" s="22" t="s">
        <v>19</v>
      </c>
      <c r="I21" s="22" t="s">
        <v>40</v>
      </c>
      <c r="J21" s="22" t="s">
        <v>255</v>
      </c>
    </row>
    <row r="22" spans="1:10">
      <c r="A22" s="14" t="s">
        <v>286</v>
      </c>
      <c r="B22" s="15">
        <v>46298</v>
      </c>
      <c r="C22" s="24" t="s">
        <v>251</v>
      </c>
      <c r="D22" s="22" t="s">
        <v>261</v>
      </c>
      <c r="E22" s="22" t="s">
        <v>276</v>
      </c>
      <c r="F22" s="22" t="s">
        <v>55</v>
      </c>
      <c r="G22" s="22" t="s">
        <v>63</v>
      </c>
      <c r="H22" s="22" t="s">
        <v>19</v>
      </c>
      <c r="I22" s="22" t="s">
        <v>59</v>
      </c>
      <c r="J22" s="22" t="s">
        <v>255</v>
      </c>
    </row>
    <row r="23" spans="1:10">
      <c r="A23" s="14" t="s">
        <v>287</v>
      </c>
      <c r="B23" s="15">
        <v>46272</v>
      </c>
      <c r="C23" s="24" t="s">
        <v>251</v>
      </c>
      <c r="D23" s="22" t="s">
        <v>252</v>
      </c>
      <c r="E23" s="22" t="s">
        <v>279</v>
      </c>
      <c r="F23" s="22" t="s">
        <v>55</v>
      </c>
      <c r="G23" s="22" t="s">
        <v>44</v>
      </c>
      <c r="H23" s="22" t="s">
        <v>254</v>
      </c>
      <c r="I23" s="22" t="s">
        <v>59</v>
      </c>
      <c r="J23" s="22" t="s">
        <v>255</v>
      </c>
    </row>
    <row r="24" spans="1:10">
      <c r="A24" s="14" t="s">
        <v>288</v>
      </c>
      <c r="B24" s="15">
        <v>46305</v>
      </c>
      <c r="C24" s="24" t="s">
        <v>268</v>
      </c>
      <c r="D24" s="22" t="s">
        <v>261</v>
      </c>
      <c r="E24" s="22" t="s">
        <v>259</v>
      </c>
      <c r="F24" s="22" t="s">
        <v>55</v>
      </c>
      <c r="G24" s="22" t="s">
        <v>57</v>
      </c>
      <c r="H24" s="22" t="s">
        <v>19</v>
      </c>
      <c r="I24" s="22" t="s">
        <v>59</v>
      </c>
      <c r="J24" s="22" t="s">
        <v>255</v>
      </c>
    </row>
    <row r="25" spans="1:10">
      <c r="A25" s="14" t="s">
        <v>289</v>
      </c>
      <c r="B25" s="15">
        <v>46266</v>
      </c>
      <c r="C25" s="24" t="s">
        <v>263</v>
      </c>
      <c r="D25" s="22" t="s">
        <v>252</v>
      </c>
      <c r="E25" s="22" t="s">
        <v>264</v>
      </c>
      <c r="F25" s="22" t="s">
        <v>49</v>
      </c>
      <c r="G25" s="22" t="s">
        <v>63</v>
      </c>
      <c r="H25" s="22" t="s">
        <v>282</v>
      </c>
      <c r="I25" s="22" t="s">
        <v>59</v>
      </c>
      <c r="J25" s="22" t="s">
        <v>255</v>
      </c>
    </row>
    <row r="26" spans="1:10">
      <c r="A26" s="14" t="s">
        <v>290</v>
      </c>
      <c r="B26" s="15">
        <v>46297</v>
      </c>
      <c r="C26" s="24" t="s">
        <v>268</v>
      </c>
      <c r="D26" s="22" t="s">
        <v>252</v>
      </c>
      <c r="E26" s="22" t="s">
        <v>259</v>
      </c>
      <c r="F26" s="22" t="s">
        <v>49</v>
      </c>
      <c r="G26" s="22" t="s">
        <v>74</v>
      </c>
      <c r="H26" s="22" t="s">
        <v>19</v>
      </c>
      <c r="I26" s="22" t="s">
        <v>40</v>
      </c>
      <c r="J26" s="22" t="s">
        <v>255</v>
      </c>
    </row>
    <row r="27" spans="1:10">
      <c r="A27" s="14" t="s">
        <v>291</v>
      </c>
      <c r="B27" s="15">
        <v>46272</v>
      </c>
      <c r="C27" s="24" t="s">
        <v>251</v>
      </c>
      <c r="D27" s="22" t="s">
        <v>258</v>
      </c>
      <c r="E27" s="22" t="s">
        <v>253</v>
      </c>
      <c r="F27" s="22" t="s">
        <v>49</v>
      </c>
      <c r="G27" s="22" t="s">
        <v>74</v>
      </c>
      <c r="H27" s="22" t="s">
        <v>254</v>
      </c>
      <c r="I27" s="22" t="s">
        <v>66</v>
      </c>
      <c r="J27" s="22" t="s">
        <v>255</v>
      </c>
    </row>
    <row r="28" spans="1:10">
      <c r="A28" s="14" t="s">
        <v>292</v>
      </c>
      <c r="B28" s="15">
        <v>46290</v>
      </c>
      <c r="C28" s="24" t="s">
        <v>251</v>
      </c>
      <c r="D28" s="22" t="s">
        <v>31</v>
      </c>
      <c r="E28" s="22" t="s">
        <v>279</v>
      </c>
      <c r="F28" s="22" t="s">
        <v>55</v>
      </c>
      <c r="G28" s="22" t="s">
        <v>57</v>
      </c>
      <c r="H28" s="22" t="s">
        <v>19</v>
      </c>
      <c r="I28" s="22" t="s">
        <v>59</v>
      </c>
      <c r="J28" s="22" t="s">
        <v>255</v>
      </c>
    </row>
  </sheetData>
  <mergeCells count="1">
    <mergeCell ref="A1:J1"/>
  </mergeCells>
  <dataValidations count="2">
    <dataValidation type="list" sqref="H4:H40">
      <formula1>"Agendado,Concluído,Reagendado"</formula1>
    </dataValidation>
    <dataValidation type="list" sqref="I4:I40">
      <formula1>"Baixa,Média,Alta"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H8" sqref="H8"/>
    </sheetView>
  </sheetViews>
  <sheetFormatPr defaultRowHeight="14.25"/>
  <cols>
    <col min="1" max="1" width="24" customWidth="1"/>
    <col min="2" max="2" width="15.75" bestFit="1" customWidth="1"/>
    <col min="3" max="16" width="16" customWidth="1"/>
  </cols>
  <sheetData>
    <row r="1" spans="1:16" ht="30" customHeight="1">
      <c r="A1" s="9" t="s">
        <v>293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>
      <c r="A3" s="11" t="s">
        <v>294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5" spans="1:16" ht="30">
      <c r="A5" s="6" t="s">
        <v>295</v>
      </c>
      <c r="B5" s="7">
        <f>COUNTA(Solicitações!A4:A48)</f>
        <v>45</v>
      </c>
      <c r="D5" s="6" t="s">
        <v>296</v>
      </c>
      <c r="E5" s="7">
        <f>COUNTIF(Solicitações!L4:L48,"Sim")</f>
        <v>26</v>
      </c>
      <c r="G5" s="6" t="s">
        <v>297</v>
      </c>
      <c r="H5" s="8">
        <f>IFERROR(COUNTIF(Solicitações!I4:I48,"Concluída")/B5,0)</f>
        <v>0.64444444444444449</v>
      </c>
      <c r="J5" s="6" t="s">
        <v>298</v>
      </c>
      <c r="K5" s="7">
        <f>COUNTIF(Documentos!H4:H15,"Vencido")+COUNTIF(Documentos!H4:H15,"Vence em até 30 dias")</f>
        <v>2</v>
      </c>
      <c r="M5" s="6" t="s">
        <v>299</v>
      </c>
      <c r="N5" s="7">
        <f>COUNTIF('Notas Fiscais'!I4:I38,"Pendente")</f>
        <v>10</v>
      </c>
    </row>
    <row r="8" spans="1:16" ht="30">
      <c r="A8" s="6" t="s">
        <v>300</v>
      </c>
      <c r="B8" s="25">
        <f>SUMIF('Notas Fiscais'!I4:I38,"Pendente",'Notas Fiscais'!E4:E38)</f>
        <v>49130.319999999992</v>
      </c>
      <c r="D8" s="6" t="s">
        <v>301</v>
      </c>
      <c r="E8" s="7">
        <f>COUNTIF(Fornecedores!J4:J11,"Ativo")</f>
        <v>8</v>
      </c>
      <c r="G8" s="6" t="s">
        <v>302</v>
      </c>
      <c r="H8" s="7">
        <f>COUNTIF(Agenda!H4:H28,"Agendado")+COUNTIF(Agenda!H4:H28,"Reagendado")</f>
        <v>10</v>
      </c>
      <c r="J8" s="6" t="s">
        <v>303</v>
      </c>
      <c r="K8" s="7">
        <f>COUNTIF(Solicitações!G4:G48,"Alta")</f>
        <v>9</v>
      </c>
      <c r="M8" s="6" t="s">
        <v>304</v>
      </c>
      <c r="N8" s="7">
        <f>COUNTIF('Notas Fiscais'!H4:H38,"Não")</f>
        <v>10</v>
      </c>
    </row>
    <row r="12" spans="1:16" ht="30">
      <c r="A12" s="3" t="s">
        <v>305</v>
      </c>
      <c r="B12" s="3" t="s">
        <v>306</v>
      </c>
      <c r="D12" s="3" t="s">
        <v>307</v>
      </c>
      <c r="E12" s="3" t="s">
        <v>306</v>
      </c>
    </row>
    <row r="13" spans="1:16">
      <c r="A13" t="s">
        <v>74</v>
      </c>
      <c r="B13">
        <f>COUNTIF(Solicitações!$C$4:$C$48,A13)</f>
        <v>5</v>
      </c>
      <c r="D13" t="s">
        <v>50</v>
      </c>
      <c r="E13">
        <f>COUNTIF(Solicitações!$I$4:$I$48,D13)</f>
        <v>29</v>
      </c>
    </row>
    <row r="14" spans="1:16">
      <c r="A14" t="s">
        <v>63</v>
      </c>
      <c r="B14">
        <f>COUNTIF(Solicitações!$C$4:$C$48,A14)</f>
        <v>7</v>
      </c>
      <c r="D14" t="s">
        <v>70</v>
      </c>
      <c r="E14">
        <f>COUNTIF(Solicitações!$I$4:$I$48,D14)</f>
        <v>13</v>
      </c>
    </row>
    <row r="15" spans="1:16">
      <c r="A15" t="s">
        <v>44</v>
      </c>
      <c r="B15">
        <f>COUNTIF(Solicitações!$C$4:$C$48,A15)</f>
        <v>15</v>
      </c>
      <c r="D15" t="s">
        <v>41</v>
      </c>
      <c r="E15">
        <f>COUNTIF(Solicitações!$I$4:$I$48,D15)</f>
        <v>3</v>
      </c>
    </row>
    <row r="16" spans="1:16">
      <c r="A16" t="s">
        <v>36</v>
      </c>
      <c r="B16">
        <f>COUNTIF(Solicitações!$C$4:$C$48,A16)</f>
        <v>8</v>
      </c>
    </row>
    <row r="17" spans="1:2">
      <c r="A17" t="s">
        <v>57</v>
      </c>
      <c r="B17">
        <f>COUNTIF(Solicitações!$C$4:$C$48,A17)</f>
        <v>4</v>
      </c>
    </row>
    <row r="18" spans="1:2">
      <c r="A18" t="s">
        <v>54</v>
      </c>
      <c r="B18">
        <f>COUNTIF(Solicitações!$C$4:$C$48,A18)</f>
        <v>6</v>
      </c>
    </row>
    <row r="21" spans="1:2" ht="15">
      <c r="A21" s="3" t="s">
        <v>308</v>
      </c>
      <c r="B21" s="3" t="s">
        <v>306</v>
      </c>
    </row>
    <row r="22" spans="1:2">
      <c r="A22" t="s">
        <v>163</v>
      </c>
      <c r="B22">
        <f>COUNTIF('Notas Fiscais'!$I$4:$I$38,"Pago")</f>
        <v>25</v>
      </c>
    </row>
    <row r="23" spans="1:2">
      <c r="A23" t="s">
        <v>41</v>
      </c>
      <c r="B23">
        <f>COUNTIF('Notas Fiscais'!$I$4:$I$38,"Pendente")</f>
        <v>10</v>
      </c>
    </row>
    <row r="24" spans="1:2">
      <c r="A24" t="s">
        <v>309</v>
      </c>
      <c r="B24">
        <f>COUNTIF('Notas Fiscais'!$H$4:$H$38,"Sim")</f>
        <v>25</v>
      </c>
    </row>
    <row r="25" spans="1:2">
      <c r="A25" t="s">
        <v>310</v>
      </c>
      <c r="B25">
        <f>COUNTIF('Notas Fiscais'!$H$4:$H$38,"Não")</f>
        <v>10</v>
      </c>
    </row>
  </sheetData>
  <mergeCells count="2">
    <mergeCell ref="A1:P1"/>
    <mergeCell ref="A3:P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sqref="A1:G1"/>
    </sheetView>
  </sheetViews>
  <sheetFormatPr defaultRowHeight="14.25"/>
  <cols>
    <col min="1" max="1" width="25" customWidth="1"/>
    <col min="2" max="2" width="48" customWidth="1"/>
    <col min="3" max="7" width="25" customWidth="1"/>
  </cols>
  <sheetData>
    <row r="1" spans="1:7" ht="30" customHeight="1">
      <c r="A1" s="9" t="s">
        <v>311</v>
      </c>
      <c r="B1" s="9"/>
      <c r="C1" s="9"/>
      <c r="D1" s="9"/>
      <c r="E1" s="9"/>
      <c r="F1" s="9"/>
      <c r="G1" s="9"/>
    </row>
    <row r="3" spans="1:7" ht="15">
      <c r="A3" s="3" t="s">
        <v>312</v>
      </c>
      <c r="B3" s="3" t="s">
        <v>313</v>
      </c>
      <c r="C3" s="3" t="s">
        <v>314</v>
      </c>
      <c r="D3" s="3" t="s">
        <v>29</v>
      </c>
      <c r="E3" s="3" t="s">
        <v>315</v>
      </c>
      <c r="F3" s="3" t="s">
        <v>316</v>
      </c>
      <c r="G3" s="3" t="s">
        <v>317</v>
      </c>
    </row>
    <row r="4" spans="1:7" ht="28.5">
      <c r="A4" s="2" t="s">
        <v>318</v>
      </c>
      <c r="B4" s="2" t="s">
        <v>319</v>
      </c>
      <c r="C4" s="2" t="s">
        <v>320</v>
      </c>
      <c r="D4" s="2" t="s">
        <v>321</v>
      </c>
      <c r="E4" s="2" t="s">
        <v>322</v>
      </c>
      <c r="F4" s="2" t="s">
        <v>323</v>
      </c>
      <c r="G4" s="2" t="s">
        <v>324</v>
      </c>
    </row>
    <row r="5" spans="1:7" ht="28.5">
      <c r="A5" s="2" t="s">
        <v>325</v>
      </c>
      <c r="B5" s="2" t="s">
        <v>326</v>
      </c>
      <c r="C5" s="2" t="s">
        <v>327</v>
      </c>
      <c r="D5" s="2" t="s">
        <v>321</v>
      </c>
      <c r="E5" s="2" t="s">
        <v>328</v>
      </c>
      <c r="F5" s="2" t="s">
        <v>329</v>
      </c>
      <c r="G5" s="2" t="s">
        <v>330</v>
      </c>
    </row>
    <row r="6" spans="1:7" ht="28.5">
      <c r="A6" s="2" t="s">
        <v>331</v>
      </c>
      <c r="B6" s="2" t="s">
        <v>332</v>
      </c>
      <c r="C6" s="2" t="s">
        <v>320</v>
      </c>
      <c r="D6" s="2" t="s">
        <v>321</v>
      </c>
      <c r="E6" s="2" t="s">
        <v>333</v>
      </c>
      <c r="F6" s="2" t="s">
        <v>334</v>
      </c>
      <c r="G6" s="2" t="s">
        <v>335</v>
      </c>
    </row>
    <row r="7" spans="1:7" ht="28.5">
      <c r="A7" s="2" t="s">
        <v>130</v>
      </c>
      <c r="B7" s="2" t="s">
        <v>336</v>
      </c>
      <c r="C7" s="2" t="s">
        <v>337</v>
      </c>
      <c r="D7" s="2" t="s">
        <v>338</v>
      </c>
      <c r="E7" s="2" t="s">
        <v>339</v>
      </c>
      <c r="F7" s="2" t="s">
        <v>340</v>
      </c>
      <c r="G7" s="2" t="s">
        <v>341</v>
      </c>
    </row>
    <row r="8" spans="1:7" ht="28.5">
      <c r="A8" s="2" t="s">
        <v>342</v>
      </c>
      <c r="B8" s="2" t="s">
        <v>343</v>
      </c>
      <c r="C8" s="2" t="s">
        <v>320</v>
      </c>
      <c r="D8" s="2" t="s">
        <v>321</v>
      </c>
      <c r="E8" s="2" t="s">
        <v>344</v>
      </c>
      <c r="F8" s="2" t="s">
        <v>345</v>
      </c>
      <c r="G8" s="2" t="s">
        <v>346</v>
      </c>
    </row>
    <row r="9" spans="1:7" ht="28.5">
      <c r="A9" s="2" t="s">
        <v>347</v>
      </c>
      <c r="B9" s="2" t="s">
        <v>348</v>
      </c>
      <c r="C9" s="2" t="s">
        <v>327</v>
      </c>
      <c r="D9" s="2" t="s">
        <v>338</v>
      </c>
      <c r="E9" s="2" t="s">
        <v>349</v>
      </c>
      <c r="F9" s="2" t="s">
        <v>350</v>
      </c>
      <c r="G9" s="2" t="s">
        <v>351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sqref="A1:F1"/>
    </sheetView>
  </sheetViews>
  <sheetFormatPr defaultRowHeight="14.25"/>
  <cols>
    <col min="1" max="1" width="28" customWidth="1"/>
    <col min="2" max="2" width="90" customWidth="1"/>
  </cols>
  <sheetData>
    <row r="1" spans="1:6" ht="30" customHeight="1">
      <c r="A1" s="9" t="s">
        <v>352</v>
      </c>
      <c r="B1" s="9"/>
      <c r="C1" s="9"/>
      <c r="D1" s="9"/>
      <c r="E1" s="9"/>
      <c r="F1" s="9"/>
    </row>
    <row r="3" spans="1:6" ht="15">
      <c r="A3" s="3" t="s">
        <v>353</v>
      </c>
      <c r="B3" s="3" t="s">
        <v>354</v>
      </c>
    </row>
    <row r="4" spans="1:6" ht="15">
      <c r="A4" s="1" t="s">
        <v>355</v>
      </c>
      <c r="B4" s="2" t="s">
        <v>356</v>
      </c>
    </row>
    <row r="5" spans="1:6" ht="29.25">
      <c r="A5" s="1" t="s">
        <v>357</v>
      </c>
      <c r="B5" s="2" t="s">
        <v>358</v>
      </c>
    </row>
    <row r="6" spans="1:6" ht="29.25">
      <c r="A6" s="1" t="s">
        <v>4</v>
      </c>
      <c r="B6" s="2" t="s">
        <v>359</v>
      </c>
    </row>
    <row r="7" spans="1:6" ht="15">
      <c r="A7" s="1" t="s">
        <v>6</v>
      </c>
      <c r="B7" s="2" t="s">
        <v>360</v>
      </c>
    </row>
    <row r="8" spans="1:6" ht="29.25">
      <c r="A8" s="1" t="s">
        <v>361</v>
      </c>
      <c r="B8" s="2" t="s">
        <v>362</v>
      </c>
    </row>
    <row r="9" spans="1:6" ht="29.25">
      <c r="A9" s="1" t="s">
        <v>363</v>
      </c>
      <c r="B9" s="2" t="s">
        <v>364</v>
      </c>
    </row>
    <row r="10" spans="1:6" ht="15">
      <c r="A10" s="1" t="s">
        <v>365</v>
      </c>
      <c r="B10" s="2" t="s">
        <v>366</v>
      </c>
    </row>
    <row r="11" spans="1:6" ht="15">
      <c r="A11" s="1" t="s">
        <v>20</v>
      </c>
      <c r="B11" s="2" t="s">
        <v>367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Apresentação</vt:lpstr>
      <vt:lpstr>Solicitações</vt:lpstr>
      <vt:lpstr>Documentos</vt:lpstr>
      <vt:lpstr>Notas Fiscais</vt:lpstr>
      <vt:lpstr>Fornecedores</vt:lpstr>
      <vt:lpstr>Agenda</vt:lpstr>
      <vt:lpstr>Dashboard</vt:lpstr>
      <vt:lpstr>Procedimentos</vt:lpstr>
      <vt:lpstr>Portfólio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cpd.07</cp:lastModifiedBy>
  <dcterms:modified xsi:type="dcterms:W3CDTF">2026-09-25T11:58:19Z</dcterms:modified>
</cp:coreProperties>
</file>